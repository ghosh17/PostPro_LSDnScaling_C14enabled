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/>
  <mc:AlternateContent xmlns:mc="http://schemas.openxmlformats.org/markup-compatibility/2006">
    <mc:Choice Requires="x15">
      <x15ac:absPath xmlns:x15ac="http://schemas.microsoft.com/office/spreadsheetml/2010/11/ac" url="https://uscedu-my.sharepoint.com/personal/aditghos_usc_edu/Documents/Ice Age Extinction/Results/Results/Data reduction code/PostProLSDn/PostPro/"/>
    </mc:Choice>
  </mc:AlternateContent>
  <xr:revisionPtr revIDLastSave="486" documentId="13_ncr:1_{49BD6D7B-4BE7-4BDA-B1E9-D9743745CA24}" xr6:coauthVersionLast="47" xr6:coauthVersionMax="47" xr10:uidLastSave="{D41A599C-911C-A04B-9FA5-30C0D06E0C12}"/>
  <bookViews>
    <workbookView xWindow="0" yWindow="740" windowWidth="29400" windowHeight="16680" xr2:uid="{00000000-000D-0000-FFFF-FFFF00000000}"/>
  </bookViews>
  <sheets>
    <sheet name="Matlab Postburial" sheetId="2" r:id="rId1"/>
    <sheet name="Matlab Erate uncorrected" sheetId="3" r:id="rId2"/>
    <sheet name="10Be PostProd" sheetId="7" r:id="rId3"/>
    <sheet name="Matlab Erate corrected model1" sheetId="5" r:id="rId4"/>
    <sheet name="Matlab Erate corrected model2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" i="2" l="1"/>
  <c r="AD8" i="2"/>
  <c r="AD9" i="2"/>
  <c r="V3" i="2"/>
  <c r="V4" i="2"/>
  <c r="V5" i="2"/>
  <c r="V6" i="2"/>
  <c r="V7" i="2"/>
  <c r="V8" i="2"/>
  <c r="V9" i="2"/>
  <c r="V10" i="2"/>
  <c r="V2" i="2"/>
  <c r="AH6" i="2" l="1"/>
  <c r="Y2" i="5" l="1"/>
  <c r="Y3" i="5"/>
  <c r="J2" i="5"/>
  <c r="J3" i="5"/>
  <c r="AI4" i="3"/>
  <c r="AI4" i="5" s="1"/>
  <c r="AI5" i="3"/>
  <c r="AI5" i="5" s="1"/>
  <c r="AI6" i="3"/>
  <c r="AI6" i="5" s="1"/>
  <c r="AI7" i="3"/>
  <c r="AI7" i="5" s="1"/>
  <c r="AI8" i="3"/>
  <c r="AI8" i="5" s="1"/>
  <c r="AI9" i="3"/>
  <c r="AI9" i="5" s="1"/>
  <c r="AI10" i="3"/>
  <c r="AI10" i="5" s="1"/>
  <c r="AH8" i="3"/>
  <c r="AH8" i="5" s="1"/>
  <c r="AH9" i="3"/>
  <c r="AH9" i="5" s="1"/>
  <c r="AH4" i="3"/>
  <c r="AH4" i="5" s="1"/>
  <c r="Y5" i="5"/>
  <c r="Y6" i="5"/>
  <c r="Y7" i="5"/>
  <c r="Y8" i="5"/>
  <c r="Y9" i="5"/>
  <c r="Y10" i="5"/>
  <c r="Y4" i="5"/>
  <c r="J5" i="5"/>
  <c r="J6" i="5"/>
  <c r="J7" i="5"/>
  <c r="J8" i="5"/>
  <c r="J9" i="5"/>
  <c r="J10" i="5"/>
  <c r="J4" i="5"/>
  <c r="AD4" i="3"/>
  <c r="AD10" i="5"/>
  <c r="AD9" i="5"/>
  <c r="AD8" i="5"/>
  <c r="AD7" i="5"/>
  <c r="AD6" i="5"/>
  <c r="AD5" i="5"/>
  <c r="AD4" i="5"/>
  <c r="AD4" i="2"/>
  <c r="AD5" i="3"/>
  <c r="O6" i="2"/>
  <c r="AD6" i="3" s="1"/>
  <c r="AH7" i="3"/>
  <c r="AH7" i="5" s="1"/>
  <c r="AD8" i="3"/>
  <c r="AH10" i="3"/>
  <c r="AH10" i="5" s="1"/>
  <c r="O9" i="2"/>
  <c r="AD9" i="3" l="1"/>
  <c r="AD10" i="3"/>
  <c r="AD6" i="2"/>
  <c r="AH6" i="3" s="1"/>
  <c r="AH6" i="5" s="1"/>
  <c r="AD5" i="2"/>
  <c r="AH5" i="3" s="1"/>
  <c r="AH5" i="5" s="1"/>
  <c r="AD7" i="3"/>
</calcChain>
</file>

<file path=xl/sharedStrings.xml><?xml version="1.0" encoding="utf-8"?>
<sst xmlns="http://schemas.openxmlformats.org/spreadsheetml/2006/main" count="179" uniqueCount="36">
  <si>
    <t>Latitude</t>
  </si>
  <si>
    <t>Longitude</t>
  </si>
  <si>
    <t>Elevation</t>
  </si>
  <si>
    <t>Pressure</t>
  </si>
  <si>
    <t>Year Collected</t>
  </si>
  <si>
    <t>Sample name</t>
  </si>
  <si>
    <t>Thickness</t>
  </si>
  <si>
    <t>Density</t>
  </si>
  <si>
    <t>Shielding</t>
  </si>
  <si>
    <t>Erosion rate</t>
  </si>
  <si>
    <t xml:space="preserve">[Be-10] </t>
  </si>
  <si>
    <t>[Al-26]</t>
  </si>
  <si>
    <t>Inheritance Be</t>
  </si>
  <si>
    <t>Inheritance Al</t>
  </si>
  <si>
    <t>Lambda effective</t>
  </si>
  <si>
    <t>Depth to top of sample</t>
  </si>
  <si>
    <t>Be +/-</t>
  </si>
  <si>
    <t>Al +/-</t>
  </si>
  <si>
    <t>Calibration age</t>
  </si>
  <si>
    <t>+/-</t>
  </si>
  <si>
    <t>Age uncert</t>
  </si>
  <si>
    <t>Age deposit</t>
  </si>
  <si>
    <t>Depth to top of sample (m)</t>
  </si>
  <si>
    <t>Age deposit (ka)</t>
  </si>
  <si>
    <t>Age uncert (ka)</t>
  </si>
  <si>
    <t>SC-14-S4</t>
  </si>
  <si>
    <t>SC-14-S3</t>
  </si>
  <si>
    <t>SC-16-S3</t>
  </si>
  <si>
    <t>SC-16-S4</t>
  </si>
  <si>
    <t>SC-15-S2</t>
  </si>
  <si>
    <t>SC-15-S1</t>
  </si>
  <si>
    <t>SC-14-S2</t>
  </si>
  <si>
    <t>[10Be] Post</t>
  </si>
  <si>
    <t>+/- 10Be Post'</t>
  </si>
  <si>
    <t>SCR</t>
  </si>
  <si>
    <t>Laguna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</si>
</sst>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5"/>
      <name val="Arial"/>
      <family val="2"/>
    </font>
    <font>
      <sz val="11"/>
      <color rgb="FF0070C0"/>
      <name val="Calibri"/>
      <family val="2"/>
      <scheme val="minor"/>
    </font>
    <font>
      <sz val="12"/>
      <color rgb="FF0070C0"/>
      <name val="Arial"/>
      <family val="2"/>
    </font>
    <font>
      <sz val="11"/>
      <color rgb="FFC00000"/>
      <name val="Calibri"/>
      <family val="2"/>
      <scheme val="minor"/>
    </font>
    <font>
      <sz val="10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sz val="11"/>
      <color rgb="FF7030A0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sz val="10.5"/>
      <color rgb="FF7030A0"/>
      <name val="Courier New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5" fillId="0" borderId="0"/>
  </cellStyleXfs>
  <cellXfs count="16">
    <xf numFmtId="0" fontId="0" fillId="0" borderId="0" xfId="0"/>
    <xf numFmtId="0" fontId="16" fillId="0" borderId="0" xfId="0" applyFont="1"/>
    <xf numFmtId="0" fontId="0" fillId="0" borderId="10" xfId="0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" fontId="23" fillId="0" borderId="0" xfId="0" applyNumberFormat="1" applyFont="1"/>
    <xf numFmtId="0" fontId="23" fillId="0" borderId="0" xfId="0" applyFont="1"/>
    <xf numFmtId="3" fontId="24" fillId="0" borderId="0" xfId="0" applyNumberFormat="1" applyFont="1" applyAlignment="1">
      <alignment horizontal="center"/>
    </xf>
    <xf numFmtId="0" fontId="26" fillId="0" borderId="11" xfId="42" applyFont="1" applyBorder="1" applyAlignment="1">
      <alignment horizontal="center" vertical="center"/>
    </xf>
    <xf numFmtId="0" fontId="0" fillId="0" borderId="0" xfId="0" quotePrefix="1"/>
    <xf numFmtId="0" fontId="27" fillId="0" borderId="0" xfId="0" applyFont="1"/>
    <xf numFmtId="0" fontId="28" fillId="0" borderId="0" xfId="0" applyFont="1"/>
    <xf numFmtId="0" fontId="29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42" xr:uid="{C44738B0-7AFA-4E4A-82C1-5DFF35DC87DA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"/>
  <sheetViews>
    <sheetView tabSelected="1" zoomScale="220" workbookViewId="0">
      <pane xSplit="1" topLeftCell="AD1" activePane="topRight" state="frozen"/>
      <selection pane="topRight" activeCell="AI12" sqref="AI12"/>
    </sheetView>
  </sheetViews>
  <sheetFormatPr baseColWidth="10" defaultColWidth="8.83203125" defaultRowHeight="15" x14ac:dyDescent="0.2"/>
  <cols>
    <col min="1" max="1" width="23.1640625" customWidth="1"/>
    <col min="3" max="3" width="11.83203125" customWidth="1"/>
    <col min="9" max="9" width="12" customWidth="1"/>
    <col min="10" max="10" width="9.5" customWidth="1"/>
    <col min="11" max="11" width="14.5" customWidth="1"/>
    <col min="14" max="14" width="23.6640625" customWidth="1"/>
    <col min="15" max="15" width="25.33203125" bestFit="1" customWidth="1"/>
    <col min="20" max="20" width="9.33203125" customWidth="1"/>
    <col min="22" max="22" width="11.1640625" customWidth="1"/>
    <col min="23" max="23" width="10.5" customWidth="1"/>
    <col min="27" max="27" width="11.6640625" customWidth="1"/>
    <col min="29" max="29" width="13" customWidth="1"/>
    <col min="30" max="30" width="25.33203125" bestFit="1" customWidth="1"/>
    <col min="31" max="31" width="13" customWidth="1"/>
    <col min="34" max="34" width="15.5" bestFit="1" customWidth="1"/>
    <col min="35" max="35" width="14.5" bestFit="1" customWidth="1"/>
  </cols>
  <sheetData>
    <row r="1" spans="1:35" s="1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22</v>
      </c>
      <c r="P1" s="1" t="s">
        <v>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16</v>
      </c>
      <c r="Z1" s="1" t="s">
        <v>17</v>
      </c>
      <c r="AA1" s="1" t="s">
        <v>12</v>
      </c>
      <c r="AB1" s="1" t="s">
        <v>13</v>
      </c>
      <c r="AC1" s="1" t="s">
        <v>14</v>
      </c>
      <c r="AD1" s="1" t="s">
        <v>22</v>
      </c>
      <c r="AE1" s="1" t="s">
        <v>4</v>
      </c>
      <c r="AF1" s="1" t="s">
        <v>18</v>
      </c>
      <c r="AG1" s="1" t="s">
        <v>19</v>
      </c>
      <c r="AH1" s="1" t="s">
        <v>23</v>
      </c>
      <c r="AI1" s="1" t="s">
        <v>24</v>
      </c>
    </row>
    <row r="2" spans="1:35" s="13" customFormat="1" x14ac:dyDescent="0.2">
      <c r="A2" s="13" t="s">
        <v>34</v>
      </c>
      <c r="B2" s="15">
        <v>34.010779999999997</v>
      </c>
      <c r="C2" s="15">
        <v>-119.86113</v>
      </c>
      <c r="D2" s="15">
        <v>74.980800000000002</v>
      </c>
      <c r="F2" s="13">
        <v>2.5000000000000001E-2</v>
      </c>
      <c r="G2" s="13">
        <v>1.5</v>
      </c>
      <c r="H2" s="13">
        <v>0.99</v>
      </c>
      <c r="I2" s="13">
        <v>0</v>
      </c>
      <c r="J2" s="13">
        <v>9999</v>
      </c>
      <c r="N2" s="13">
        <v>153</v>
      </c>
      <c r="O2" s="13">
        <v>0.1</v>
      </c>
      <c r="P2" s="13">
        <v>2024</v>
      </c>
      <c r="V2" s="13">
        <f>G2</f>
        <v>1.5</v>
      </c>
      <c r="Y2" s="13">
        <v>9999</v>
      </c>
      <c r="AD2" s="13">
        <v>0.1</v>
      </c>
      <c r="AH2" s="13">
        <v>0</v>
      </c>
      <c r="AI2" s="13">
        <v>0.05</v>
      </c>
    </row>
    <row r="3" spans="1:35" s="13" customFormat="1" x14ac:dyDescent="0.2">
      <c r="A3" s="13" t="s">
        <v>35</v>
      </c>
      <c r="B3" s="15">
        <v>33.968280999999998</v>
      </c>
      <c r="C3" s="15">
        <v>-119.79878100000001</v>
      </c>
      <c r="D3" s="15">
        <v>14.9352</v>
      </c>
      <c r="F3" s="13">
        <v>2.5000000000000001E-2</v>
      </c>
      <c r="G3" s="13">
        <v>1.5</v>
      </c>
      <c r="H3" s="13">
        <v>0.99</v>
      </c>
      <c r="I3" s="13">
        <v>0</v>
      </c>
      <c r="J3" s="13">
        <v>9999</v>
      </c>
      <c r="N3" s="13">
        <v>153</v>
      </c>
      <c r="O3" s="13">
        <v>0.1</v>
      </c>
      <c r="P3" s="13">
        <v>2024</v>
      </c>
      <c r="V3" s="13">
        <f t="shared" ref="V3:V10" si="0">G3</f>
        <v>1.5</v>
      </c>
      <c r="Y3" s="13">
        <v>9999</v>
      </c>
      <c r="AD3" s="13">
        <v>0.1</v>
      </c>
      <c r="AH3" s="13">
        <v>0</v>
      </c>
      <c r="AI3" s="13">
        <v>0.05</v>
      </c>
    </row>
    <row r="4" spans="1:35" s="3" customFormat="1" ht="16" x14ac:dyDescent="0.2">
      <c r="A4" s="3" t="s">
        <v>25</v>
      </c>
      <c r="B4" s="5">
        <v>34.005499999999998</v>
      </c>
      <c r="C4" s="5">
        <v>-119.841711</v>
      </c>
      <c r="D4" s="5">
        <v>125.88200000000001</v>
      </c>
      <c r="F4" s="3">
        <v>2.5000000000000001E-2</v>
      </c>
      <c r="G4" s="13">
        <v>1.8</v>
      </c>
      <c r="H4" s="3">
        <v>0.99</v>
      </c>
      <c r="I4" s="3">
        <v>0</v>
      </c>
      <c r="J4" s="3">
        <v>9999</v>
      </c>
      <c r="N4" s="3">
        <v>153</v>
      </c>
      <c r="O4" s="3">
        <v>0.32</v>
      </c>
      <c r="P4" s="3">
        <v>2024</v>
      </c>
      <c r="V4" s="13">
        <f t="shared" si="0"/>
        <v>1.8</v>
      </c>
      <c r="Y4" s="3">
        <v>9999</v>
      </c>
      <c r="AD4" s="3">
        <f t="shared" ref="AD4:AD9" si="1">O4</f>
        <v>0.32</v>
      </c>
      <c r="AH4" s="3">
        <v>0.13</v>
      </c>
      <c r="AI4" s="3">
        <v>0.05</v>
      </c>
    </row>
    <row r="5" spans="1:35" s="3" customFormat="1" ht="16" x14ac:dyDescent="0.2">
      <c r="A5" s="3" t="s">
        <v>26</v>
      </c>
      <c r="B5" s="5">
        <v>34.005499999999998</v>
      </c>
      <c r="C5" s="5">
        <v>-119.841711</v>
      </c>
      <c r="D5" s="5">
        <v>125.88200000000001</v>
      </c>
      <c r="F5" s="3">
        <v>2.5000000000000001E-2</v>
      </c>
      <c r="G5" s="13">
        <v>1.8</v>
      </c>
      <c r="H5" s="3">
        <v>0.99</v>
      </c>
      <c r="I5" s="3">
        <v>0</v>
      </c>
      <c r="J5" s="3">
        <v>9999</v>
      </c>
      <c r="N5" s="3">
        <v>153</v>
      </c>
      <c r="O5" s="3">
        <v>0.91</v>
      </c>
      <c r="P5" s="3">
        <v>2024</v>
      </c>
      <c r="V5" s="13">
        <f t="shared" si="0"/>
        <v>1.8</v>
      </c>
      <c r="Y5" s="3">
        <v>9999</v>
      </c>
      <c r="AD5" s="3">
        <f t="shared" si="1"/>
        <v>0.91</v>
      </c>
      <c r="AH5" s="3">
        <v>2.065931</v>
      </c>
      <c r="AI5" s="3">
        <v>7.0000000000000007E-2</v>
      </c>
    </row>
    <row r="6" spans="1:35" s="3" customFormat="1" ht="16" x14ac:dyDescent="0.2">
      <c r="A6" s="3" t="s">
        <v>31</v>
      </c>
      <c r="B6" s="5">
        <v>34.005499999999998</v>
      </c>
      <c r="C6" s="5">
        <v>-119.841711</v>
      </c>
      <c r="D6" s="5">
        <v>125.88200000000001</v>
      </c>
      <c r="F6" s="3">
        <v>2.5000000000000001E-2</v>
      </c>
      <c r="G6" s="13">
        <v>1.8</v>
      </c>
      <c r="H6" s="3">
        <v>0.99</v>
      </c>
      <c r="I6" s="3">
        <v>0</v>
      </c>
      <c r="J6" s="3">
        <v>9999</v>
      </c>
      <c r="N6" s="3">
        <v>153</v>
      </c>
      <c r="O6" s="3">
        <f>3-0.6</f>
        <v>2.4</v>
      </c>
      <c r="P6" s="3">
        <v>2024</v>
      </c>
      <c r="V6" s="13">
        <f t="shared" si="0"/>
        <v>1.8</v>
      </c>
      <c r="Y6" s="3">
        <v>9999</v>
      </c>
      <c r="AD6" s="3">
        <f t="shared" si="1"/>
        <v>2.4</v>
      </c>
      <c r="AH6" s="3">
        <f>0.8634*AD6 +1.2989</f>
        <v>3.3710599999999999</v>
      </c>
      <c r="AI6" s="3">
        <v>0.12</v>
      </c>
    </row>
    <row r="7" spans="1:35" s="4" customFormat="1" x14ac:dyDescent="0.2">
      <c r="A7" s="4" t="s">
        <v>29</v>
      </c>
      <c r="B7">
        <v>34.009329999999999</v>
      </c>
      <c r="C7">
        <v>-119.85401</v>
      </c>
      <c r="D7" s="4">
        <v>83</v>
      </c>
      <c r="F7" s="4">
        <v>2.5000000000000001E-2</v>
      </c>
      <c r="G7" s="13">
        <v>1.8</v>
      </c>
      <c r="H7" s="4">
        <v>0.99</v>
      </c>
      <c r="I7" s="4">
        <v>0</v>
      </c>
      <c r="J7" s="4">
        <v>9999</v>
      </c>
      <c r="N7" s="4">
        <v>153</v>
      </c>
      <c r="O7" s="4">
        <v>2.95</v>
      </c>
      <c r="P7" s="4">
        <v>2024</v>
      </c>
      <c r="V7" s="13">
        <f t="shared" si="0"/>
        <v>1.8</v>
      </c>
      <c r="Y7" s="4">
        <v>9999</v>
      </c>
      <c r="AD7" s="3">
        <f t="shared" si="1"/>
        <v>2.95</v>
      </c>
      <c r="AH7" s="4">
        <v>5.1556350000000002</v>
      </c>
      <c r="AI7" s="4">
        <v>0.08</v>
      </c>
    </row>
    <row r="8" spans="1:35" s="4" customFormat="1" x14ac:dyDescent="0.2">
      <c r="A8" s="4" t="s">
        <v>30</v>
      </c>
      <c r="B8">
        <v>34.009329999999999</v>
      </c>
      <c r="C8">
        <v>-119.85401</v>
      </c>
      <c r="D8" s="4">
        <v>83</v>
      </c>
      <c r="F8" s="4">
        <v>2.5000000000000001E-2</v>
      </c>
      <c r="G8" s="13">
        <v>1.8</v>
      </c>
      <c r="H8" s="4">
        <v>0.99</v>
      </c>
      <c r="I8" s="4">
        <v>0</v>
      </c>
      <c r="J8" s="4">
        <v>9999</v>
      </c>
      <c r="N8" s="4">
        <v>153</v>
      </c>
      <c r="O8" s="4">
        <v>4.5999999999999996</v>
      </c>
      <c r="P8" s="4">
        <v>2024</v>
      </c>
      <c r="V8" s="13">
        <f t="shared" si="0"/>
        <v>1.8</v>
      </c>
      <c r="Y8" s="4">
        <v>9999</v>
      </c>
      <c r="AD8" s="3">
        <f t="shared" si="1"/>
        <v>4.5999999999999996</v>
      </c>
      <c r="AH8">
        <v>10.1</v>
      </c>
      <c r="AI8" s="4">
        <v>0.08</v>
      </c>
    </row>
    <row r="9" spans="1:35" s="6" customFormat="1" ht="16" x14ac:dyDescent="0.2">
      <c r="A9" s="6" t="s">
        <v>28</v>
      </c>
      <c r="B9" s="7">
        <v>34.011088999999998</v>
      </c>
      <c r="C9" s="7">
        <v>-119.87456899999999</v>
      </c>
      <c r="D9" s="7">
        <v>22.86</v>
      </c>
      <c r="F9" s="6">
        <v>2.5000000000000001E-2</v>
      </c>
      <c r="G9" s="13">
        <v>1.8</v>
      </c>
      <c r="H9" s="6">
        <v>0.99</v>
      </c>
      <c r="I9" s="6">
        <v>0</v>
      </c>
      <c r="J9" s="6">
        <v>9999</v>
      </c>
      <c r="N9" s="6">
        <v>153</v>
      </c>
      <c r="O9" s="6">
        <f>14.32-10.5</f>
        <v>3.8200000000000003</v>
      </c>
      <c r="P9" s="6">
        <v>2024</v>
      </c>
      <c r="V9" s="13">
        <f t="shared" si="0"/>
        <v>1.8</v>
      </c>
      <c r="Y9" s="6">
        <v>9999</v>
      </c>
      <c r="AD9" s="3">
        <f t="shared" si="1"/>
        <v>3.8200000000000003</v>
      </c>
      <c r="AH9" s="6">
        <v>8.4</v>
      </c>
      <c r="AI9" s="6">
        <v>0.05</v>
      </c>
    </row>
    <row r="10" spans="1:35" s="6" customFormat="1" ht="16" x14ac:dyDescent="0.2">
      <c r="A10" s="6" t="s">
        <v>27</v>
      </c>
      <c r="B10" s="7">
        <v>34.011088999999998</v>
      </c>
      <c r="C10" s="7">
        <v>-119.87456899999999</v>
      </c>
      <c r="D10" s="7">
        <v>22.86</v>
      </c>
      <c r="F10" s="6">
        <v>2.5000000000000001E-2</v>
      </c>
      <c r="G10" s="13">
        <v>1.8</v>
      </c>
      <c r="H10" s="6">
        <v>0.99</v>
      </c>
      <c r="I10" s="6">
        <v>0</v>
      </c>
      <c r="J10" s="6">
        <v>9999</v>
      </c>
      <c r="N10" s="6">
        <v>153</v>
      </c>
      <c r="O10" s="6">
        <v>7.82</v>
      </c>
      <c r="P10" s="6">
        <v>2024</v>
      </c>
      <c r="V10" s="13">
        <f t="shared" si="0"/>
        <v>1.8</v>
      </c>
      <c r="Y10" s="6">
        <v>9999</v>
      </c>
      <c r="AD10" s="6">
        <v>7.82</v>
      </c>
      <c r="AH10" s="6">
        <v>12.501711999999999</v>
      </c>
      <c r="AI10" s="6">
        <v>0.23100000000000001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8"/>
  <sheetViews>
    <sheetView zoomScale="245" workbookViewId="0">
      <selection activeCell="F11" sqref="F11"/>
    </sheetView>
  </sheetViews>
  <sheetFormatPr baseColWidth="10" defaultColWidth="8.83203125" defaultRowHeight="15" x14ac:dyDescent="0.2"/>
  <cols>
    <col min="1" max="1" width="23.1640625" customWidth="1"/>
    <col min="9" max="9" width="12" customWidth="1"/>
    <col min="11" max="11" width="14.5" customWidth="1"/>
    <col min="12" max="12" width="14" customWidth="1"/>
    <col min="13" max="13" width="13.33203125" customWidth="1"/>
    <col min="15" max="15" width="21" customWidth="1"/>
    <col min="20" max="20" width="9.33203125" customWidth="1"/>
    <col min="22" max="22" width="11.1640625" customWidth="1"/>
    <col min="23" max="23" width="10.5" customWidth="1"/>
    <col min="24" max="24" width="12.33203125" customWidth="1"/>
    <col min="27" max="27" width="11.6640625" customWidth="1"/>
    <col min="29" max="29" width="16.5" customWidth="1"/>
    <col min="30" max="30" width="22.83203125" customWidth="1"/>
    <col min="31" max="31" width="21.1640625" customWidth="1"/>
    <col min="34" max="34" width="11.5" bestFit="1" customWidth="1"/>
  </cols>
  <sheetData>
    <row r="1" spans="1:35" s="1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16</v>
      </c>
      <c r="Z1" s="1" t="s">
        <v>17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4</v>
      </c>
      <c r="AF1" s="1" t="s">
        <v>18</v>
      </c>
      <c r="AG1" s="1" t="s">
        <v>19</v>
      </c>
      <c r="AH1" s="1" t="s">
        <v>21</v>
      </c>
      <c r="AI1" s="1" t="s">
        <v>20</v>
      </c>
    </row>
    <row r="2" spans="1:35" s="13" customFormat="1" x14ac:dyDescent="0.2">
      <c r="A2" s="13" t="s">
        <v>34</v>
      </c>
      <c r="B2" s="15">
        <v>34.010779999999997</v>
      </c>
      <c r="C2" s="15">
        <v>-119.86113</v>
      </c>
      <c r="D2" s="15">
        <v>74.980800000000002</v>
      </c>
      <c r="F2" s="13">
        <v>2.5000000000000001E-2</v>
      </c>
      <c r="G2" s="13">
        <v>2.2000000000000002</v>
      </c>
      <c r="H2" s="13">
        <v>0.99</v>
      </c>
      <c r="I2" s="13">
        <v>0</v>
      </c>
      <c r="J2" s="13">
        <v>60265</v>
      </c>
      <c r="N2" s="13">
        <v>153</v>
      </c>
      <c r="O2" s="13">
        <v>0.1</v>
      </c>
      <c r="P2" s="13">
        <v>2024</v>
      </c>
      <c r="V2" s="13">
        <v>0.1</v>
      </c>
      <c r="Y2" s="13">
        <v>9999</v>
      </c>
      <c r="AD2" s="13">
        <v>0.1</v>
      </c>
      <c r="AH2" s="13">
        <v>0</v>
      </c>
      <c r="AI2" s="13">
        <v>0.1</v>
      </c>
    </row>
    <row r="3" spans="1:35" s="13" customFormat="1" x14ac:dyDescent="0.2">
      <c r="A3" s="13" t="s">
        <v>35</v>
      </c>
      <c r="B3" s="15">
        <v>33.968280999999998</v>
      </c>
      <c r="C3" s="15">
        <v>-119.79878100000001</v>
      </c>
      <c r="D3" s="15">
        <v>14.9352</v>
      </c>
      <c r="F3" s="13">
        <v>2.5000000000000001E-2</v>
      </c>
      <c r="G3" s="13">
        <v>2.2000000000000002</v>
      </c>
      <c r="H3" s="13">
        <v>0.99</v>
      </c>
      <c r="I3" s="13">
        <v>0</v>
      </c>
      <c r="J3" s="13">
        <v>29055</v>
      </c>
      <c r="N3" s="13">
        <v>153</v>
      </c>
      <c r="O3" s="13">
        <v>0.1</v>
      </c>
      <c r="P3" s="13">
        <v>2024</v>
      </c>
      <c r="V3" s="13">
        <v>0.1</v>
      </c>
      <c r="Y3" s="13">
        <v>9999</v>
      </c>
      <c r="AD3" s="13">
        <v>0.1</v>
      </c>
      <c r="AH3" s="13">
        <v>0</v>
      </c>
      <c r="AI3" s="13">
        <v>0.1</v>
      </c>
    </row>
    <row r="4" spans="1:35" s="3" customFormat="1" ht="16" x14ac:dyDescent="0.2">
      <c r="A4" s="3" t="s">
        <v>25</v>
      </c>
      <c r="B4" s="5">
        <v>34.005499999999998</v>
      </c>
      <c r="C4" s="5">
        <v>-119.841711</v>
      </c>
      <c r="D4" s="5">
        <v>125.88200000000001</v>
      </c>
      <c r="F4" s="3">
        <v>2.5000000000000001E-2</v>
      </c>
      <c r="G4" s="3">
        <v>2.2000000000000002</v>
      </c>
      <c r="H4" s="9">
        <v>0.99</v>
      </c>
      <c r="I4" s="3">
        <v>0</v>
      </c>
      <c r="J4" s="8">
        <v>51737</v>
      </c>
      <c r="N4" s="3">
        <v>153</v>
      </c>
      <c r="O4">
        <v>0</v>
      </c>
      <c r="P4" s="3">
        <v>2024</v>
      </c>
      <c r="V4" s="3">
        <v>0.1</v>
      </c>
      <c r="Y4">
        <v>2032.4773155880609</v>
      </c>
      <c r="AD4" s="9">
        <f>'Matlab Postburial'!O4</f>
        <v>0.32</v>
      </c>
      <c r="AE4">
        <v>0</v>
      </c>
      <c r="AH4" s="3">
        <f>'Matlab Postburial'!AH4</f>
        <v>0.13</v>
      </c>
      <c r="AI4" s="3">
        <f>'Matlab Postburial'!AI4</f>
        <v>0.05</v>
      </c>
    </row>
    <row r="5" spans="1:35" s="3" customFormat="1" ht="16" x14ac:dyDescent="0.2">
      <c r="A5" s="3" t="s">
        <v>26</v>
      </c>
      <c r="B5" s="5">
        <v>34.005499999999998</v>
      </c>
      <c r="C5" s="5">
        <v>-119.841711</v>
      </c>
      <c r="D5" s="5">
        <v>125.88200000000001</v>
      </c>
      <c r="F5" s="3">
        <v>2.5000000000000001E-2</v>
      </c>
      <c r="G5" s="3">
        <v>2.2000000000000002</v>
      </c>
      <c r="H5" s="9">
        <v>0.99</v>
      </c>
      <c r="I5" s="3">
        <v>0</v>
      </c>
      <c r="J5" s="8">
        <v>57584</v>
      </c>
      <c r="N5" s="3">
        <v>153</v>
      </c>
      <c r="O5">
        <v>0</v>
      </c>
      <c r="P5" s="3">
        <v>2024</v>
      </c>
      <c r="V5" s="3">
        <v>0.1</v>
      </c>
      <c r="Y5">
        <v>2494.6350519365478</v>
      </c>
      <c r="AD5" s="9">
        <f>'Matlab Postburial'!O5</f>
        <v>0.91</v>
      </c>
      <c r="AE5">
        <v>0</v>
      </c>
      <c r="AH5" s="3">
        <f>'Matlab Postburial'!AH5</f>
        <v>2.065931</v>
      </c>
      <c r="AI5" s="3">
        <f>'Matlab Postburial'!AI5</f>
        <v>7.0000000000000007E-2</v>
      </c>
    </row>
    <row r="6" spans="1:35" s="3" customFormat="1" ht="16" x14ac:dyDescent="0.2">
      <c r="A6" s="3" t="s">
        <v>31</v>
      </c>
      <c r="B6" s="5">
        <v>34.005499999999998</v>
      </c>
      <c r="C6" s="5">
        <v>-119.841711</v>
      </c>
      <c r="D6" s="5">
        <v>125.88200000000001</v>
      </c>
      <c r="F6" s="3">
        <v>2.5000000000000001E-2</v>
      </c>
      <c r="G6" s="3">
        <v>2.2000000000000002</v>
      </c>
      <c r="H6" s="9">
        <v>0.99</v>
      </c>
      <c r="I6" s="3">
        <v>0</v>
      </c>
      <c r="J6" s="8">
        <v>60059</v>
      </c>
      <c r="N6" s="3">
        <v>153</v>
      </c>
      <c r="O6">
        <v>0</v>
      </c>
      <c r="P6" s="3">
        <v>2024</v>
      </c>
      <c r="V6" s="3">
        <v>0.1</v>
      </c>
      <c r="Y6">
        <v>2738.1370444637409</v>
      </c>
      <c r="AD6" s="9">
        <f>'Matlab Postburial'!O6</f>
        <v>2.4</v>
      </c>
      <c r="AE6">
        <v>0</v>
      </c>
      <c r="AH6" s="3">
        <f>'Matlab Postburial'!AH6</f>
        <v>3.3710599999999999</v>
      </c>
      <c r="AI6" s="3">
        <f>'Matlab Postburial'!AI6</f>
        <v>0.12</v>
      </c>
    </row>
    <row r="7" spans="1:35" s="4" customFormat="1" x14ac:dyDescent="0.2">
      <c r="A7" s="4" t="s">
        <v>29</v>
      </c>
      <c r="B7">
        <v>34.009329999999999</v>
      </c>
      <c r="C7">
        <v>-119.85401</v>
      </c>
      <c r="D7" s="4">
        <v>83</v>
      </c>
      <c r="F7" s="4">
        <v>2.5000000000000001E-2</v>
      </c>
      <c r="G7" s="4">
        <v>2.2000000000000002</v>
      </c>
      <c r="H7" s="9">
        <v>0.99</v>
      </c>
      <c r="I7" s="4">
        <v>0</v>
      </c>
      <c r="J7" s="8">
        <v>66082</v>
      </c>
      <c r="N7" s="4">
        <v>153</v>
      </c>
      <c r="O7">
        <v>0</v>
      </c>
      <c r="P7" s="4">
        <v>2024</v>
      </c>
      <c r="V7" s="4">
        <v>0.1</v>
      </c>
      <c r="Y7">
        <v>2749.351017339568</v>
      </c>
      <c r="AD7" s="9">
        <f>'Matlab Postburial'!O7</f>
        <v>2.95</v>
      </c>
      <c r="AE7">
        <v>0</v>
      </c>
      <c r="AH7" s="3">
        <f>'Matlab Postburial'!AH7</f>
        <v>5.1556350000000002</v>
      </c>
      <c r="AI7" s="3">
        <f>'Matlab Postburial'!AI7</f>
        <v>0.08</v>
      </c>
    </row>
    <row r="8" spans="1:35" s="4" customFormat="1" x14ac:dyDescent="0.2">
      <c r="A8" s="4" t="s">
        <v>30</v>
      </c>
      <c r="B8">
        <v>34.009329999999999</v>
      </c>
      <c r="C8">
        <v>-119.85401</v>
      </c>
      <c r="D8" s="4">
        <v>83</v>
      </c>
      <c r="F8" s="4">
        <v>2.5000000000000001E-2</v>
      </c>
      <c r="G8" s="4">
        <v>2.2000000000000002</v>
      </c>
      <c r="H8" s="9">
        <v>0.99</v>
      </c>
      <c r="I8" s="4">
        <v>0</v>
      </c>
      <c r="J8" s="8">
        <v>72098</v>
      </c>
      <c r="N8" s="4">
        <v>153</v>
      </c>
      <c r="O8">
        <v>0</v>
      </c>
      <c r="P8" s="4">
        <v>2024</v>
      </c>
      <c r="V8" s="4">
        <v>0.1</v>
      </c>
      <c r="Y8">
        <v>3778.4463951300177</v>
      </c>
      <c r="AD8" s="9">
        <f>'Matlab Postburial'!O8</f>
        <v>4.5999999999999996</v>
      </c>
      <c r="AE8">
        <v>0</v>
      </c>
      <c r="AH8" s="3">
        <f>'Matlab Postburial'!AH8</f>
        <v>10.1</v>
      </c>
      <c r="AI8" s="3">
        <f>'Matlab Postburial'!AI8</f>
        <v>0.08</v>
      </c>
    </row>
    <row r="9" spans="1:35" s="6" customFormat="1" ht="16" x14ac:dyDescent="0.2">
      <c r="A9" s="6" t="s">
        <v>28</v>
      </c>
      <c r="B9" s="7">
        <v>34.011088999999998</v>
      </c>
      <c r="C9" s="7">
        <v>-119.87456899999999</v>
      </c>
      <c r="D9" s="7">
        <v>22.86</v>
      </c>
      <c r="F9" s="6">
        <v>2.5000000000000001E-2</v>
      </c>
      <c r="G9" s="6">
        <v>2.2000000000000002</v>
      </c>
      <c r="H9" s="9">
        <v>0.99</v>
      </c>
      <c r="I9" s="6">
        <v>0</v>
      </c>
      <c r="J9" s="8">
        <v>57757</v>
      </c>
      <c r="N9" s="6">
        <v>153</v>
      </c>
      <c r="O9">
        <v>0</v>
      </c>
      <c r="P9" s="6">
        <v>2024</v>
      </c>
      <c r="V9" s="6">
        <v>0.1</v>
      </c>
      <c r="Y9">
        <v>2429.0200321607304</v>
      </c>
      <c r="AD9" s="9">
        <f>'Matlab Postburial'!O9</f>
        <v>3.8200000000000003</v>
      </c>
      <c r="AE9">
        <v>0</v>
      </c>
      <c r="AH9" s="3">
        <f>'Matlab Postburial'!AH9</f>
        <v>8.4</v>
      </c>
      <c r="AI9" s="3">
        <f>'Matlab Postburial'!AI9</f>
        <v>0.05</v>
      </c>
    </row>
    <row r="10" spans="1:35" s="6" customFormat="1" ht="16" x14ac:dyDescent="0.2">
      <c r="A10" s="6" t="s">
        <v>27</v>
      </c>
      <c r="B10" s="7">
        <v>34.011088999999998</v>
      </c>
      <c r="C10" s="7">
        <v>-119.87456899999999</v>
      </c>
      <c r="D10" s="7">
        <v>22.86</v>
      </c>
      <c r="F10" s="6">
        <v>2.5000000000000001E-2</v>
      </c>
      <c r="G10" s="6">
        <v>2.2000000000000002</v>
      </c>
      <c r="H10" s="9">
        <v>0.99</v>
      </c>
      <c r="I10" s="6">
        <v>0</v>
      </c>
      <c r="J10" s="8">
        <v>62123</v>
      </c>
      <c r="N10" s="6">
        <v>153</v>
      </c>
      <c r="O10">
        <v>0</v>
      </c>
      <c r="P10" s="6">
        <v>2024</v>
      </c>
      <c r="V10" s="6">
        <v>0.1</v>
      </c>
      <c r="Y10">
        <v>2505.7714788941657</v>
      </c>
      <c r="AD10" s="9">
        <f>'Matlab Postburial'!O10</f>
        <v>7.82</v>
      </c>
      <c r="AE10">
        <v>0</v>
      </c>
      <c r="AH10" s="3">
        <f>'Matlab Postburial'!AH10</f>
        <v>12.501711999999999</v>
      </c>
      <c r="AI10" s="3">
        <f>'Matlab Postburial'!AI10</f>
        <v>0.23100000000000001</v>
      </c>
    </row>
    <row r="15" spans="1:35" x14ac:dyDescent="0.2">
      <c r="W15" s="11"/>
      <c r="X15" s="10"/>
    </row>
    <row r="16" spans="1:35" x14ac:dyDescent="0.2">
      <c r="W16" s="11"/>
      <c r="X16" s="10"/>
    </row>
    <row r="17" spans="1:24" x14ac:dyDescent="0.2">
      <c r="W17" s="11"/>
      <c r="X17" s="10"/>
    </row>
    <row r="18" spans="1:24" x14ac:dyDescent="0.2">
      <c r="W18" s="11"/>
      <c r="X18" s="10"/>
    </row>
    <row r="19" spans="1:24" x14ac:dyDescent="0.2">
      <c r="W19" s="11"/>
      <c r="X19" s="10"/>
    </row>
    <row r="20" spans="1:24" x14ac:dyDescent="0.2">
      <c r="W20" s="11"/>
      <c r="X20" s="10"/>
    </row>
    <row r="21" spans="1:24" x14ac:dyDescent="0.2">
      <c r="W21" s="11"/>
      <c r="X21" s="10"/>
    </row>
    <row r="26" spans="1:24" x14ac:dyDescent="0.2">
      <c r="A26" s="2"/>
    </row>
    <row r="27" spans="1:24" x14ac:dyDescent="0.2">
      <c r="A27" s="2"/>
    </row>
    <row r="28" spans="1:24" x14ac:dyDescent="0.2">
      <c r="A2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DF27-3D12-CA4C-BDE7-2249A2B67B17}">
  <dimension ref="A1:C10"/>
  <sheetViews>
    <sheetView zoomScale="164" workbookViewId="0">
      <selection activeCell="C17" sqref="C17"/>
    </sheetView>
  </sheetViews>
  <sheetFormatPr baseColWidth="10" defaultRowHeight="15" x14ac:dyDescent="0.2"/>
  <sheetData>
    <row r="1" spans="1:3" x14ac:dyDescent="0.2">
      <c r="A1" s="1" t="s">
        <v>5</v>
      </c>
      <c r="B1" t="s">
        <v>32</v>
      </c>
      <c r="C1" s="12" t="s">
        <v>33</v>
      </c>
    </row>
    <row r="2" spans="1:3" x14ac:dyDescent="0.2">
      <c r="A2" s="13" t="s">
        <v>34</v>
      </c>
      <c r="B2">
        <v>0</v>
      </c>
      <c r="C2">
        <v>0</v>
      </c>
    </row>
    <row r="3" spans="1:3" x14ac:dyDescent="0.2">
      <c r="A3" s="13" t="s">
        <v>35</v>
      </c>
      <c r="B3">
        <v>0</v>
      </c>
      <c r="C3">
        <v>0</v>
      </c>
    </row>
    <row r="4" spans="1:3" x14ac:dyDescent="0.2">
      <c r="A4" s="3" t="s">
        <v>25</v>
      </c>
      <c r="B4">
        <v>646</v>
      </c>
      <c r="C4">
        <v>213</v>
      </c>
    </row>
    <row r="5" spans="1:3" x14ac:dyDescent="0.2">
      <c r="A5" s="3" t="s">
        <v>26</v>
      </c>
      <c r="B5">
        <v>4219</v>
      </c>
      <c r="C5">
        <v>400.5</v>
      </c>
    </row>
    <row r="6" spans="1:3" x14ac:dyDescent="0.2">
      <c r="A6" s="3" t="s">
        <v>31</v>
      </c>
      <c r="B6">
        <v>5108</v>
      </c>
      <c r="C6">
        <v>443</v>
      </c>
    </row>
    <row r="7" spans="1:3" x14ac:dyDescent="0.2">
      <c r="A7" s="4" t="s">
        <v>29</v>
      </c>
      <c r="B7">
        <v>5843</v>
      </c>
      <c r="C7">
        <v>569</v>
      </c>
    </row>
    <row r="8" spans="1:3" ht="16" x14ac:dyDescent="0.2">
      <c r="A8" s="4" t="s">
        <v>30</v>
      </c>
      <c r="B8" s="14">
        <v>5347</v>
      </c>
      <c r="C8">
        <v>512.5</v>
      </c>
    </row>
    <row r="9" spans="1:3" x14ac:dyDescent="0.2">
      <c r="A9" s="6" t="s">
        <v>28</v>
      </c>
      <c r="B9">
        <v>2303</v>
      </c>
      <c r="C9">
        <v>822</v>
      </c>
    </row>
    <row r="10" spans="1:3" x14ac:dyDescent="0.2">
      <c r="A10" s="6" t="s">
        <v>27</v>
      </c>
      <c r="B10">
        <v>3109</v>
      </c>
      <c r="C10">
        <v>390.5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"/>
  <sheetViews>
    <sheetView zoomScale="150" workbookViewId="0">
      <pane xSplit="1" topLeftCell="AD1" activePane="topRight" state="frozen"/>
      <selection pane="topRight" activeCell="AH3" sqref="AH3"/>
    </sheetView>
  </sheetViews>
  <sheetFormatPr baseColWidth="10" defaultColWidth="8.83203125" defaultRowHeight="15" x14ac:dyDescent="0.2"/>
  <cols>
    <col min="1" max="1" width="23.1640625" customWidth="1"/>
    <col min="9" max="9" width="12" customWidth="1"/>
    <col min="11" max="11" width="14.5" customWidth="1"/>
    <col min="14" max="14" width="13.6640625" customWidth="1"/>
    <col min="15" max="15" width="21" customWidth="1"/>
    <col min="20" max="20" width="9.33203125" customWidth="1"/>
    <col min="22" max="22" width="11.1640625" customWidth="1"/>
    <col min="23" max="23" width="10.5" customWidth="1"/>
    <col min="27" max="27" width="11.6640625" customWidth="1"/>
    <col min="29" max="29" width="16.5" customWidth="1"/>
    <col min="30" max="30" width="25.6640625" customWidth="1"/>
    <col min="31" max="31" width="21.1640625" customWidth="1"/>
    <col min="32" max="32" width="14.6640625" customWidth="1"/>
    <col min="33" max="33" width="10" customWidth="1"/>
    <col min="34" max="34" width="11.5" bestFit="1" customWidth="1"/>
  </cols>
  <sheetData>
    <row r="1" spans="1:35" s="1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16</v>
      </c>
      <c r="Z1" s="1" t="s">
        <v>17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4</v>
      </c>
      <c r="AF1" s="1" t="s">
        <v>18</v>
      </c>
      <c r="AG1" s="1" t="s">
        <v>19</v>
      </c>
      <c r="AH1" s="1" t="s">
        <v>21</v>
      </c>
      <c r="AI1" s="1" t="s">
        <v>20</v>
      </c>
    </row>
    <row r="2" spans="1:35" s="13" customFormat="1" x14ac:dyDescent="0.2">
      <c r="A2" s="13" t="s">
        <v>34</v>
      </c>
      <c r="B2" s="15">
        <v>34.010779999999997</v>
      </c>
      <c r="C2" s="15">
        <v>-119.86113</v>
      </c>
      <c r="D2" s="15">
        <v>74.980800000000002</v>
      </c>
      <c r="F2" s="13">
        <v>2.5000000000000001E-2</v>
      </c>
      <c r="G2" s="13">
        <v>2.2000000000000002</v>
      </c>
      <c r="H2" s="13">
        <v>0.99</v>
      </c>
      <c r="I2" s="13">
        <v>0</v>
      </c>
      <c r="J2" s="8">
        <f>'Matlab Erate uncorrected'!J2-'10Be PostProd'!B2</f>
        <v>60265</v>
      </c>
      <c r="N2" s="13">
        <v>153</v>
      </c>
      <c r="O2" s="13">
        <v>0.1</v>
      </c>
      <c r="P2" s="13">
        <v>2024</v>
      </c>
      <c r="V2" s="13">
        <v>0.1</v>
      </c>
      <c r="Y2">
        <f>'Matlab Erate uncorrected'!Y2+'10Be PostProd'!C2</f>
        <v>9999</v>
      </c>
      <c r="AD2" s="13">
        <v>0</v>
      </c>
      <c r="AE2" s="13">
        <v>0</v>
      </c>
      <c r="AH2" s="13">
        <v>0</v>
      </c>
      <c r="AI2" s="13">
        <v>0.1</v>
      </c>
    </row>
    <row r="3" spans="1:35" s="13" customFormat="1" x14ac:dyDescent="0.2">
      <c r="A3" s="13" t="s">
        <v>35</v>
      </c>
      <c r="B3" s="15">
        <v>33.968280999999998</v>
      </c>
      <c r="C3" s="15">
        <v>-119.79878100000001</v>
      </c>
      <c r="D3" s="15">
        <v>14.9352</v>
      </c>
      <c r="F3" s="13">
        <v>2.5000000000000001E-2</v>
      </c>
      <c r="G3" s="13">
        <v>2.2000000000000002</v>
      </c>
      <c r="H3" s="13">
        <v>0.99</v>
      </c>
      <c r="I3" s="13">
        <v>0</v>
      </c>
      <c r="J3" s="8">
        <f>'Matlab Erate uncorrected'!J3-'10Be PostProd'!B3</f>
        <v>29055</v>
      </c>
      <c r="N3" s="13">
        <v>153</v>
      </c>
      <c r="O3" s="13">
        <v>0.1</v>
      </c>
      <c r="P3" s="13">
        <v>2024</v>
      </c>
      <c r="V3" s="13">
        <v>0.1</v>
      </c>
      <c r="Y3">
        <f>'Matlab Erate uncorrected'!Y3+'10Be PostProd'!C3</f>
        <v>9999</v>
      </c>
      <c r="AD3" s="13">
        <v>0</v>
      </c>
      <c r="AE3" s="13">
        <v>0</v>
      </c>
      <c r="AH3" s="13">
        <v>0</v>
      </c>
      <c r="AI3" s="13">
        <v>0.1</v>
      </c>
    </row>
    <row r="4" spans="1:35" s="3" customFormat="1" ht="16" x14ac:dyDescent="0.2">
      <c r="A4" s="3" t="s">
        <v>25</v>
      </c>
      <c r="B4" s="5">
        <v>34.005499999999998</v>
      </c>
      <c r="C4" s="5">
        <v>-119.841711</v>
      </c>
      <c r="D4" s="5">
        <v>125.88200000000001</v>
      </c>
      <c r="F4" s="3">
        <v>2.5000000000000001E-2</v>
      </c>
      <c r="G4" s="3">
        <v>2.2000000000000002</v>
      </c>
      <c r="H4" s="9">
        <v>0.99</v>
      </c>
      <c r="I4" s="3">
        <v>0</v>
      </c>
      <c r="J4" s="8">
        <f>'Matlab Erate uncorrected'!J4-'10Be PostProd'!B4</f>
        <v>51091</v>
      </c>
      <c r="N4" s="3">
        <v>153</v>
      </c>
      <c r="O4">
        <v>0</v>
      </c>
      <c r="P4" s="3">
        <v>2024</v>
      </c>
      <c r="V4" s="3">
        <v>0.1</v>
      </c>
      <c r="Y4">
        <f>'Matlab Erate uncorrected'!Y4+'10Be PostProd'!C4</f>
        <v>2245.4773155880612</v>
      </c>
      <c r="AD4" s="3">
        <f t="shared" ref="AD4:AD6" si="0">O4</f>
        <v>0</v>
      </c>
      <c r="AE4">
        <v>0</v>
      </c>
      <c r="AH4" s="3">
        <f>'Matlab Erate uncorrected'!AH4</f>
        <v>0.13</v>
      </c>
      <c r="AI4" s="3">
        <f>'Matlab Erate uncorrected'!AI4</f>
        <v>0.05</v>
      </c>
    </row>
    <row r="5" spans="1:35" s="3" customFormat="1" ht="16" x14ac:dyDescent="0.2">
      <c r="A5" s="3" t="s">
        <v>26</v>
      </c>
      <c r="B5" s="5">
        <v>34.005499999999998</v>
      </c>
      <c r="C5" s="5">
        <v>-119.841711</v>
      </c>
      <c r="D5" s="5">
        <v>125.88200000000001</v>
      </c>
      <c r="F5" s="3">
        <v>2.5000000000000001E-2</v>
      </c>
      <c r="G5" s="3">
        <v>2.2000000000000002</v>
      </c>
      <c r="H5" s="9">
        <v>0.99</v>
      </c>
      <c r="I5" s="3">
        <v>0</v>
      </c>
      <c r="J5" s="8">
        <f>'Matlab Erate uncorrected'!J5-'10Be PostProd'!B5</f>
        <v>53365</v>
      </c>
      <c r="N5" s="3">
        <v>153</v>
      </c>
      <c r="O5">
        <v>0</v>
      </c>
      <c r="P5" s="3">
        <v>2024</v>
      </c>
      <c r="V5" s="3">
        <v>0.1</v>
      </c>
      <c r="Y5">
        <f>'Matlab Erate uncorrected'!Y5+'10Be PostProd'!C5</f>
        <v>2895.1350519365478</v>
      </c>
      <c r="AD5" s="3">
        <f t="shared" si="0"/>
        <v>0</v>
      </c>
      <c r="AE5">
        <v>0</v>
      </c>
      <c r="AH5" s="3">
        <f>'Matlab Erate uncorrected'!AH5</f>
        <v>2.065931</v>
      </c>
      <c r="AI5" s="3">
        <f>'Matlab Erate uncorrected'!AI5</f>
        <v>7.0000000000000007E-2</v>
      </c>
    </row>
    <row r="6" spans="1:35" s="3" customFormat="1" ht="16" x14ac:dyDescent="0.2">
      <c r="A6" s="3" t="s">
        <v>31</v>
      </c>
      <c r="B6" s="5">
        <v>34.005499999999998</v>
      </c>
      <c r="C6" s="5">
        <v>-119.841711</v>
      </c>
      <c r="D6" s="5">
        <v>125.88200000000001</v>
      </c>
      <c r="F6" s="3">
        <v>2.5000000000000001E-2</v>
      </c>
      <c r="G6" s="3">
        <v>2.2000000000000002</v>
      </c>
      <c r="H6" s="9">
        <v>0.99</v>
      </c>
      <c r="I6" s="3">
        <v>0</v>
      </c>
      <c r="J6" s="8">
        <f>'Matlab Erate uncorrected'!J6-'10Be PostProd'!B6</f>
        <v>54951</v>
      </c>
      <c r="N6" s="3">
        <v>153</v>
      </c>
      <c r="O6">
        <v>0</v>
      </c>
      <c r="P6" s="3">
        <v>2024</v>
      </c>
      <c r="V6" s="3">
        <v>0.1</v>
      </c>
      <c r="Y6">
        <f>'Matlab Erate uncorrected'!Y6+'10Be PostProd'!C6</f>
        <v>3181.1370444637409</v>
      </c>
      <c r="AD6" s="3">
        <f t="shared" si="0"/>
        <v>0</v>
      </c>
      <c r="AE6">
        <v>0</v>
      </c>
      <c r="AH6" s="3">
        <f>'Matlab Erate uncorrected'!AH6</f>
        <v>3.3710599999999999</v>
      </c>
      <c r="AI6" s="3">
        <f>'Matlab Erate uncorrected'!AI6</f>
        <v>0.12</v>
      </c>
    </row>
    <row r="7" spans="1:35" s="4" customFormat="1" x14ac:dyDescent="0.2">
      <c r="A7" s="4" t="s">
        <v>29</v>
      </c>
      <c r="B7">
        <v>34.009329999999999</v>
      </c>
      <c r="C7">
        <v>-119.85401</v>
      </c>
      <c r="D7" s="4">
        <v>83</v>
      </c>
      <c r="F7" s="4">
        <v>2.5000000000000001E-2</v>
      </c>
      <c r="G7" s="4">
        <v>2.2000000000000002</v>
      </c>
      <c r="H7" s="9">
        <v>0.99</v>
      </c>
      <c r="I7" s="4">
        <v>0</v>
      </c>
      <c r="J7" s="8">
        <f>'Matlab Erate uncorrected'!J7-'10Be PostProd'!B7</f>
        <v>60239</v>
      </c>
      <c r="N7" s="4">
        <v>153</v>
      </c>
      <c r="O7">
        <v>0</v>
      </c>
      <c r="P7" s="4">
        <v>2024</v>
      </c>
      <c r="V7" s="4">
        <v>0.1</v>
      </c>
      <c r="Y7">
        <f>'Matlab Erate uncorrected'!Y7+'10Be PostProd'!C7</f>
        <v>3318.351017339568</v>
      </c>
      <c r="AD7" s="4">
        <f>O7</f>
        <v>0</v>
      </c>
      <c r="AE7">
        <v>0</v>
      </c>
      <c r="AH7" s="3">
        <f>'Matlab Erate uncorrected'!AH7</f>
        <v>5.1556350000000002</v>
      </c>
      <c r="AI7" s="3">
        <f>'Matlab Erate uncorrected'!AI7</f>
        <v>0.08</v>
      </c>
    </row>
    <row r="8" spans="1:35" s="4" customFormat="1" x14ac:dyDescent="0.2">
      <c r="A8" s="4" t="s">
        <v>30</v>
      </c>
      <c r="B8">
        <v>34.009329999999999</v>
      </c>
      <c r="C8">
        <v>-119.85401</v>
      </c>
      <c r="D8" s="4">
        <v>83</v>
      </c>
      <c r="F8" s="4">
        <v>2.5000000000000001E-2</v>
      </c>
      <c r="G8" s="4">
        <v>2.2000000000000002</v>
      </c>
      <c r="H8" s="9">
        <v>0.99</v>
      </c>
      <c r="I8" s="4">
        <v>0</v>
      </c>
      <c r="J8" s="8">
        <f>'Matlab Erate uncorrected'!J8-'10Be PostProd'!B8</f>
        <v>66751</v>
      </c>
      <c r="N8" s="4">
        <v>153</v>
      </c>
      <c r="O8">
        <v>0</v>
      </c>
      <c r="P8" s="4">
        <v>2024</v>
      </c>
      <c r="V8" s="4">
        <v>0.1</v>
      </c>
      <c r="Y8">
        <f>'Matlab Erate uncorrected'!Y8+'10Be PostProd'!C8</f>
        <v>4290.9463951300177</v>
      </c>
      <c r="AD8" s="4">
        <f t="shared" ref="AD8:AD10" si="1">O8</f>
        <v>0</v>
      </c>
      <c r="AE8">
        <v>0</v>
      </c>
      <c r="AH8" s="3">
        <f>'Matlab Erate uncorrected'!AH8</f>
        <v>10.1</v>
      </c>
      <c r="AI8" s="3">
        <f>'Matlab Erate uncorrected'!AI8</f>
        <v>0.08</v>
      </c>
    </row>
    <row r="9" spans="1:35" s="6" customFormat="1" ht="16" x14ac:dyDescent="0.2">
      <c r="A9" s="6" t="s">
        <v>28</v>
      </c>
      <c r="B9" s="7">
        <v>34.011088999999998</v>
      </c>
      <c r="C9" s="7">
        <v>-119.87456899999999</v>
      </c>
      <c r="D9" s="7">
        <v>22.86</v>
      </c>
      <c r="F9" s="6">
        <v>2.5000000000000001E-2</v>
      </c>
      <c r="G9" s="6">
        <v>2.2000000000000002</v>
      </c>
      <c r="H9" s="9">
        <v>0.99</v>
      </c>
      <c r="I9" s="6">
        <v>0</v>
      </c>
      <c r="J9" s="8">
        <f>'Matlab Erate uncorrected'!J9-'10Be PostProd'!B9</f>
        <v>55454</v>
      </c>
      <c r="N9" s="6">
        <v>153</v>
      </c>
      <c r="O9">
        <v>0</v>
      </c>
      <c r="P9" s="6">
        <v>2024</v>
      </c>
      <c r="V9" s="6">
        <v>0.1</v>
      </c>
      <c r="Y9">
        <f>'Matlab Erate uncorrected'!Y9+'10Be PostProd'!C9</f>
        <v>3251.0200321607304</v>
      </c>
      <c r="AD9" s="6">
        <f t="shared" si="1"/>
        <v>0</v>
      </c>
      <c r="AE9">
        <v>0</v>
      </c>
      <c r="AH9" s="3">
        <f>'Matlab Erate uncorrected'!AH9</f>
        <v>8.4</v>
      </c>
      <c r="AI9" s="3">
        <f>'Matlab Erate uncorrected'!AI9</f>
        <v>0.05</v>
      </c>
    </row>
    <row r="10" spans="1:35" s="6" customFormat="1" ht="16" x14ac:dyDescent="0.2">
      <c r="A10" s="6" t="s">
        <v>27</v>
      </c>
      <c r="B10" s="7">
        <v>34.011088999999998</v>
      </c>
      <c r="C10" s="7">
        <v>-119.87456899999999</v>
      </c>
      <c r="D10" s="7">
        <v>22.86</v>
      </c>
      <c r="F10" s="6">
        <v>2.5000000000000001E-2</v>
      </c>
      <c r="G10" s="6">
        <v>2.2000000000000002</v>
      </c>
      <c r="H10" s="9">
        <v>0.99</v>
      </c>
      <c r="I10" s="6">
        <v>0</v>
      </c>
      <c r="J10" s="8">
        <f>'Matlab Erate uncorrected'!J10-'10Be PostProd'!B10</f>
        <v>59014</v>
      </c>
      <c r="N10" s="6">
        <v>153</v>
      </c>
      <c r="O10">
        <v>0</v>
      </c>
      <c r="P10" s="6">
        <v>2024</v>
      </c>
      <c r="V10" s="6">
        <v>0.1</v>
      </c>
      <c r="Y10">
        <f>'Matlab Erate uncorrected'!Y10+'10Be PostProd'!C10</f>
        <v>2896.2714788941657</v>
      </c>
      <c r="AD10" s="6">
        <f t="shared" si="1"/>
        <v>0</v>
      </c>
      <c r="AE10">
        <v>0</v>
      </c>
      <c r="AH10" s="3">
        <f>'Matlab Erate uncorrected'!AH10</f>
        <v>12.501711999999999</v>
      </c>
      <c r="AI10" s="3">
        <f>'Matlab Erate uncorrected'!AI10</f>
        <v>0.23100000000000001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"/>
  <sheetViews>
    <sheetView zoomScale="193" workbookViewId="0">
      <selection activeCell="G16" sqref="G16"/>
    </sheetView>
  </sheetViews>
  <sheetFormatPr baseColWidth="10" defaultColWidth="8.83203125" defaultRowHeight="15" x14ac:dyDescent="0.2"/>
  <cols>
    <col min="1" max="1" width="23.1640625" customWidth="1"/>
    <col min="9" max="9" width="12" customWidth="1"/>
    <col min="11" max="11" width="14.5" customWidth="1"/>
    <col min="15" max="15" width="21" customWidth="1"/>
    <col min="20" max="20" width="9.33203125" customWidth="1"/>
    <col min="22" max="22" width="11.1640625" customWidth="1"/>
    <col min="23" max="23" width="10.5" customWidth="1"/>
    <col min="27" max="27" width="11.6640625" customWidth="1"/>
    <col min="29" max="30" width="16.5" customWidth="1"/>
    <col min="31" max="31" width="21.1640625" customWidth="1"/>
    <col min="34" max="34" width="11.5" bestFit="1" customWidth="1"/>
  </cols>
  <sheetData>
    <row r="1" spans="1:35" s="1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4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16</v>
      </c>
      <c r="Z1" s="1" t="s">
        <v>17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4</v>
      </c>
      <c r="AF1" s="1" t="s">
        <v>18</v>
      </c>
      <c r="AG1" s="1" t="s">
        <v>19</v>
      </c>
      <c r="AH1" s="1" t="s">
        <v>21</v>
      </c>
      <c r="AI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Matlab Postburial</vt:lpstr>
      <vt:lpstr>Matlab Erate uncorrected</vt:lpstr>
      <vt:lpstr>10Be PostProd</vt:lpstr>
      <vt:lpstr>Matlab Erate corrected model1</vt:lpstr>
      <vt:lpstr>Matlab Erate corrected model2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Marrero</dc:creator>
  <cp:lastModifiedBy>Adit Ghosh</cp:lastModifiedBy>
  <dcterms:created xsi:type="dcterms:W3CDTF">2014-04-06T16:42:18Z</dcterms:created>
  <dcterms:modified xsi:type="dcterms:W3CDTF">2026-01-28T00:18:08Z</dcterms:modified>
</cp:coreProperties>
</file>