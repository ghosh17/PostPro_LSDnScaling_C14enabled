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filterPrivacy="1" defaultThemeVersion="124226"/>
  <xr:revisionPtr revIDLastSave="844" documentId="13_ncr:1_{52940D7C-5D8E-4B2F-A731-16FB6D494CBA}" xr6:coauthVersionLast="47" xr6:coauthVersionMax="47" xr10:uidLastSave="{ECABC376-458F-7742-850E-FAD20AEAA1DE}"/>
  <bookViews>
    <workbookView minimized="1" xWindow="29400" yWindow="-1980" windowWidth="38400" windowHeight="21100" activeTab="1" xr2:uid="{00000000-000D-0000-FFFF-FFFF00000000}"/>
  </bookViews>
  <sheets>
    <sheet name="Info" sheetId="5" r:id="rId1"/>
    <sheet name="10Be_Model1" sheetId="1" r:id="rId2"/>
    <sheet name="10Be_Model2" sheetId="2" r:id="rId3"/>
    <sheet name="36Cl_Model1" sheetId="3" r:id="rId4"/>
    <sheet name="36Cl_Model2" sheetId="7" r:id="rId5"/>
    <sheet name="14C_Model1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7" i="1" l="1"/>
  <c r="R57" i="1"/>
  <c r="AO43" i="1"/>
  <c r="AM43" i="1"/>
  <c r="AP42" i="1"/>
  <c r="AO42" i="1"/>
  <c r="AM42" i="1"/>
  <c r="AP41" i="1"/>
  <c r="AO41" i="1"/>
  <c r="AM41" i="1"/>
  <c r="AP40" i="1"/>
  <c r="AO40" i="1"/>
  <c r="AM40" i="1"/>
  <c r="AM39" i="1"/>
  <c r="B30" i="1"/>
  <c r="B30" i="8" s="1"/>
  <c r="W36" i="1"/>
  <c r="Q17" i="1"/>
  <c r="AA17" i="1"/>
  <c r="AD17" i="1"/>
  <c r="A2" i="8"/>
  <c r="B2" i="8"/>
  <c r="C2" i="8"/>
  <c r="D2" i="8"/>
  <c r="E2" i="8"/>
  <c r="A3" i="8"/>
  <c r="B3" i="8"/>
  <c r="C3" i="8"/>
  <c r="D3" i="8"/>
  <c r="E3" i="8"/>
  <c r="A4" i="8"/>
  <c r="C4" i="8"/>
  <c r="E4" i="8"/>
  <c r="F4" i="8"/>
  <c r="A5" i="8"/>
  <c r="B5" i="8"/>
  <c r="C5" i="8"/>
  <c r="D5" i="8"/>
  <c r="E5" i="8"/>
  <c r="A6" i="8"/>
  <c r="B6" i="8"/>
  <c r="C6" i="8"/>
  <c r="D6" i="8"/>
  <c r="E6" i="8"/>
  <c r="A7" i="8"/>
  <c r="C7" i="8"/>
  <c r="E7" i="8"/>
  <c r="A8" i="8"/>
  <c r="B8" i="8"/>
  <c r="C8" i="8"/>
  <c r="D8" i="8"/>
  <c r="E8" i="8"/>
  <c r="A9" i="8"/>
  <c r="B9" i="8"/>
  <c r="C9" i="8"/>
  <c r="D9" i="8"/>
  <c r="E9" i="8"/>
  <c r="F9" i="8"/>
  <c r="A10" i="8"/>
  <c r="B10" i="8"/>
  <c r="C10" i="8"/>
  <c r="D10" i="8"/>
  <c r="E10" i="8"/>
  <c r="A11" i="8"/>
  <c r="B11" i="8"/>
  <c r="C11" i="8"/>
  <c r="D11" i="8"/>
  <c r="E11" i="8"/>
  <c r="A12" i="8"/>
  <c r="B12" i="8"/>
  <c r="C12" i="8"/>
  <c r="D12" i="8"/>
  <c r="E12" i="8"/>
  <c r="A13" i="8"/>
  <c r="B13" i="8"/>
  <c r="C13" i="8"/>
  <c r="D13" i="8"/>
  <c r="E13" i="8"/>
  <c r="A14" i="8"/>
  <c r="B14" i="8"/>
  <c r="C14" i="8"/>
  <c r="D14" i="8"/>
  <c r="E14" i="8"/>
  <c r="A15" i="8"/>
  <c r="B15" i="8"/>
  <c r="C15" i="8"/>
  <c r="D15" i="8"/>
  <c r="E15" i="8"/>
  <c r="A16" i="8"/>
  <c r="B16" i="8"/>
  <c r="C16" i="8"/>
  <c r="D16" i="8"/>
  <c r="E16" i="8"/>
  <c r="A17" i="8"/>
  <c r="B17" i="8"/>
  <c r="C17" i="8"/>
  <c r="D17" i="8"/>
  <c r="E17" i="8"/>
  <c r="A18" i="8"/>
  <c r="B18" i="8"/>
  <c r="C18" i="8"/>
  <c r="D18" i="8"/>
  <c r="E18" i="8"/>
  <c r="A19" i="8"/>
  <c r="B19" i="8"/>
  <c r="C19" i="8"/>
  <c r="D19" i="8"/>
  <c r="E19" i="8"/>
  <c r="A20" i="8"/>
  <c r="B20" i="8"/>
  <c r="C20" i="8"/>
  <c r="D20" i="8"/>
  <c r="E20" i="8"/>
  <c r="A21" i="8"/>
  <c r="B21" i="8"/>
  <c r="C21" i="8"/>
  <c r="D21" i="8"/>
  <c r="E21" i="8"/>
  <c r="A22" i="8"/>
  <c r="B22" i="8"/>
  <c r="C22" i="8"/>
  <c r="D22" i="8"/>
  <c r="E22" i="8"/>
  <c r="F22" i="8"/>
  <c r="A23" i="8"/>
  <c r="B23" i="8"/>
  <c r="C23" i="8"/>
  <c r="D23" i="8"/>
  <c r="E23" i="8"/>
  <c r="A24" i="8"/>
  <c r="B24" i="8"/>
  <c r="C24" i="8"/>
  <c r="D24" i="8"/>
  <c r="E24" i="8"/>
  <c r="A25" i="8"/>
  <c r="B25" i="8"/>
  <c r="C25" i="8"/>
  <c r="D25" i="8"/>
  <c r="E25" i="8"/>
  <c r="A26" i="8"/>
  <c r="B26" i="8"/>
  <c r="C26" i="8"/>
  <c r="D26" i="8"/>
  <c r="E26" i="8"/>
  <c r="A27" i="8"/>
  <c r="B27" i="8"/>
  <c r="C27" i="8"/>
  <c r="D27" i="8"/>
  <c r="E27" i="8"/>
  <c r="A28" i="8"/>
  <c r="B28" i="8"/>
  <c r="C28" i="8"/>
  <c r="D28" i="8"/>
  <c r="E28" i="8"/>
  <c r="A29" i="8"/>
  <c r="B29" i="8"/>
  <c r="C29" i="8"/>
  <c r="D29" i="8"/>
  <c r="E29" i="8"/>
  <c r="A30" i="8"/>
  <c r="C30" i="8"/>
  <c r="D30" i="8"/>
  <c r="E30" i="8"/>
  <c r="F1" i="8"/>
  <c r="B1" i="8"/>
  <c r="C1" i="8"/>
  <c r="D1" i="8"/>
  <c r="E1" i="8"/>
  <c r="A1" i="8"/>
  <c r="W38" i="1"/>
  <c r="Q38" i="1"/>
  <c r="AD38" i="1"/>
  <c r="Q36" i="1"/>
  <c r="C4" i="1"/>
  <c r="C7" i="1" s="1"/>
  <c r="D4" i="1"/>
  <c r="D7" i="1" s="1"/>
  <c r="D7" i="8" s="1"/>
  <c r="B4" i="1"/>
  <c r="B7" i="1" s="1"/>
  <c r="B7" i="8" s="1"/>
  <c r="E7" i="1"/>
  <c r="AL8" i="1"/>
  <c r="D22" i="1"/>
  <c r="B22" i="1"/>
  <c r="D4" i="8" l="1"/>
  <c r="B4" i="8"/>
  <c r="Z17" i="1"/>
  <c r="E30" i="1" l="1"/>
  <c r="E29" i="1"/>
  <c r="E28" i="1"/>
  <c r="D30" i="1"/>
  <c r="D29" i="1"/>
  <c r="D28" i="1"/>
  <c r="B26" i="1"/>
  <c r="B25" i="1"/>
  <c r="B27" i="1"/>
  <c r="B29" i="1"/>
  <c r="B28" i="1"/>
</calcChain>
</file>

<file path=xl/sharedStrings.xml><?xml version="1.0" encoding="utf-8"?>
<sst xmlns="http://schemas.openxmlformats.org/spreadsheetml/2006/main" count="90" uniqueCount="40">
  <si>
    <t>In this excel sheet you need to fill in your burial history models</t>
  </si>
  <si>
    <t>You need to provide depths and ages for every layer in your stratigraphic section (including the surface).</t>
  </si>
  <si>
    <t>You do not need to provide data for the layer of your actual sample because that information comes through the Cronus input sheet</t>
  </si>
  <si>
    <t>depth of layer below surface</t>
  </si>
  <si>
    <t>age of layer</t>
  </si>
  <si>
    <t>EL-919-1</t>
  </si>
  <si>
    <t>Sf-919-11</t>
  </si>
  <si>
    <t>Sf-919-12</t>
  </si>
  <si>
    <t>Sf-919-14</t>
  </si>
  <si>
    <t>Sf-919-15</t>
  </si>
  <si>
    <t>Sample</t>
  </si>
  <si>
    <t>depths (m)</t>
  </si>
  <si>
    <t>depth uncerts (m)</t>
  </si>
  <si>
    <t>age (ka)</t>
  </si>
  <si>
    <t>age uncerts (ka)</t>
  </si>
  <si>
    <t>If you have several layers constrained in a stratigraphic section, please use a separate line for every constrained layer, while using the same sample name. Also, order your layers from top to bottom.</t>
  </si>
  <si>
    <t>sample</t>
  </si>
  <si>
    <t>SC-14-S4</t>
  </si>
  <si>
    <t>SC-14-S3</t>
  </si>
  <si>
    <t>SC-16-S3</t>
  </si>
  <si>
    <t>SC-16-S4</t>
  </si>
  <si>
    <t>SC-14-S2</t>
  </si>
  <si>
    <t>SC-15-S2</t>
  </si>
  <si>
    <t>SC-15-S1</t>
  </si>
  <si>
    <t xml:space="preserve">age (ka) </t>
  </si>
  <si>
    <t>age uncerts (ka) (Difference in 2signma)</t>
  </si>
  <si>
    <t>14S3</t>
  </si>
  <si>
    <t>15S2</t>
  </si>
  <si>
    <t>15S1</t>
  </si>
  <si>
    <t>SC-15-S1-real</t>
  </si>
  <si>
    <t>SC-14-S2-real</t>
  </si>
  <si>
    <t>Notes</t>
  </si>
  <si>
    <t>Asumming same deposition rate but adding a 2.34 ka disconformity, i.e., I am adding this this missing time</t>
  </si>
  <si>
    <t>Assuming constant erosion and a disconformity between 7.30 and 9.64 ka</t>
  </si>
  <si>
    <t>SC14S1</t>
  </si>
  <si>
    <t>Not possible so it must be disconformity</t>
  </si>
  <si>
    <t>*Averaged out inverse ages which will throw up an error in postpro (can't have younger below older duh)</t>
  </si>
  <si>
    <t>Disconformity. Postpro is encountering an error because the depth change and age change is so rapid below. Thus I averaged the two ages out.</t>
  </si>
  <si>
    <t>SC14S2 averaged</t>
  </si>
  <si>
    <t>SC16S3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</si>
</sst>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2" borderId="0" xfId="0" applyFill="1"/>
    <xf numFmtId="0" fontId="7" fillId="0" borderId="4" xfId="0" applyFont="1" applyBorder="1"/>
    <xf numFmtId="0" fontId="7" fillId="0" borderId="0" xfId="0" applyFont="1"/>
    <xf numFmtId="0" fontId="7" fillId="0" borderId="5" xfId="0" applyFont="1" applyBorder="1"/>
    <xf numFmtId="0" fontId="0" fillId="0" borderId="0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53494169923817381"/>
                  <c:y val="-0.129640944152107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'10Be_Model1'!$B$28:$B$30</c:f>
              <c:numCache>
                <c:formatCode>General</c:formatCode>
                <c:ptCount val="3"/>
                <c:pt idx="0">
                  <c:v>1.2599999999999998</c:v>
                </c:pt>
                <c:pt idx="1">
                  <c:v>4.4700000000000006</c:v>
                </c:pt>
                <c:pt idx="2">
                  <c:v>7.32</c:v>
                </c:pt>
              </c:numCache>
            </c:numRef>
          </c:xVal>
          <c:yVal>
            <c:numRef>
              <c:f>'10Be_Model1'!$D$28:$D$30</c:f>
              <c:numCache>
                <c:formatCode>General</c:formatCode>
                <c:ptCount val="3"/>
                <c:pt idx="0">
                  <c:v>4.431</c:v>
                </c:pt>
                <c:pt idx="1">
                  <c:v>9.0030000000000001</c:v>
                </c:pt>
                <c:pt idx="2">
                  <c:v>10.958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FC-C646-B013-0903458C7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586896"/>
        <c:axId val="728736256"/>
      </c:scatterChart>
      <c:valAx>
        <c:axId val="72858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736256"/>
        <c:crosses val="autoZero"/>
        <c:crossBetween val="midCat"/>
      </c:valAx>
      <c:valAx>
        <c:axId val="72873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58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325730559025306"/>
                  <c:y val="-0.163550119090872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'10Be_Model1'!$AM$3:$AM$8</c:f>
              <c:numCache>
                <c:formatCode>General</c:formatCode>
                <c:ptCount val="6"/>
                <c:pt idx="0">
                  <c:v>0.53</c:v>
                </c:pt>
                <c:pt idx="1">
                  <c:v>0.75</c:v>
                </c:pt>
                <c:pt idx="2">
                  <c:v>0.9</c:v>
                </c:pt>
                <c:pt idx="3">
                  <c:v>1.45</c:v>
                </c:pt>
                <c:pt idx="4">
                  <c:v>2.2000000000000002</c:v>
                </c:pt>
                <c:pt idx="5">
                  <c:v>2.4500000000000002</c:v>
                </c:pt>
              </c:numCache>
            </c:numRef>
          </c:xVal>
          <c:yVal>
            <c:numRef>
              <c:f>'10Be_Model1'!$AO$3:$AO$8</c:f>
              <c:numCache>
                <c:formatCode>General</c:formatCode>
                <c:ptCount val="6"/>
                <c:pt idx="0">
                  <c:v>1.87</c:v>
                </c:pt>
                <c:pt idx="1">
                  <c:v>1.81</c:v>
                </c:pt>
                <c:pt idx="2">
                  <c:v>2.06</c:v>
                </c:pt>
                <c:pt idx="3">
                  <c:v>2.59</c:v>
                </c:pt>
                <c:pt idx="4">
                  <c:v>3.34</c:v>
                </c:pt>
                <c:pt idx="5">
                  <c:v>3.58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B1-974C-BB63-349F2883D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550096"/>
        <c:axId val="470551808"/>
      </c:scatterChart>
      <c:valAx>
        <c:axId val="47055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51808"/>
        <c:crosses val="autoZero"/>
        <c:crossBetween val="midCat"/>
      </c:valAx>
      <c:valAx>
        <c:axId val="47055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(ka)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5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637368408274631"/>
                  <c:y val="-0.204702218818674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'10Be_Model1'!$B$17:$B$21</c:f>
              <c:numCache>
                <c:formatCode>General</c:formatCode>
                <c:ptCount val="5"/>
                <c:pt idx="0">
                  <c:v>0.5</c:v>
                </c:pt>
                <c:pt idx="1">
                  <c:v>1.2</c:v>
                </c:pt>
                <c:pt idx="2">
                  <c:v>1.9</c:v>
                </c:pt>
                <c:pt idx="3">
                  <c:v>2.5</c:v>
                </c:pt>
                <c:pt idx="4">
                  <c:v>2.7</c:v>
                </c:pt>
              </c:numCache>
            </c:numRef>
          </c:xVal>
          <c:yVal>
            <c:numRef>
              <c:f>'10Be_Model1'!$D$17:$D$21</c:f>
              <c:numCache>
                <c:formatCode>General</c:formatCode>
                <c:ptCount val="5"/>
                <c:pt idx="0">
                  <c:v>1.31</c:v>
                </c:pt>
                <c:pt idx="1">
                  <c:v>2.4500000000000002</c:v>
                </c:pt>
                <c:pt idx="2">
                  <c:v>3.63</c:v>
                </c:pt>
                <c:pt idx="3">
                  <c:v>4.5599999999999996</c:v>
                </c:pt>
                <c:pt idx="4">
                  <c:v>4.6100000000000003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6C-004C-BBCD-BED19488E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483344"/>
        <c:axId val="735820640"/>
      </c:scatterChart>
      <c:valAx>
        <c:axId val="180448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820640"/>
        <c:crosses val="autoZero"/>
        <c:crossBetween val="midCat"/>
      </c:valAx>
      <c:valAx>
        <c:axId val="73582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48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637368408274631"/>
                  <c:y val="-0.204702218818674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('10Be_Model1'!$B$17:$B$21,'10Be_Model1'!$B$23)</c:f>
              <c:numCache>
                <c:formatCode>General</c:formatCode>
                <c:ptCount val="6"/>
                <c:pt idx="0">
                  <c:v>0.5</c:v>
                </c:pt>
                <c:pt idx="1">
                  <c:v>1.2</c:v>
                </c:pt>
                <c:pt idx="2">
                  <c:v>1.9</c:v>
                </c:pt>
                <c:pt idx="3">
                  <c:v>2.5</c:v>
                </c:pt>
                <c:pt idx="4">
                  <c:v>2.7</c:v>
                </c:pt>
                <c:pt idx="5">
                  <c:v>4.25</c:v>
                </c:pt>
              </c:numCache>
            </c:numRef>
          </c:xVal>
          <c:yVal>
            <c:numRef>
              <c:f>('10Be_Model1'!$D$17:$D$21,'10Be_Model1'!$D$23)</c:f>
              <c:numCache>
                <c:formatCode>General</c:formatCode>
                <c:ptCount val="6"/>
                <c:pt idx="0">
                  <c:v>1.31</c:v>
                </c:pt>
                <c:pt idx="1">
                  <c:v>2.4500000000000002</c:v>
                </c:pt>
                <c:pt idx="2">
                  <c:v>3.63</c:v>
                </c:pt>
                <c:pt idx="3">
                  <c:v>4.5599999999999996</c:v>
                </c:pt>
                <c:pt idx="4">
                  <c:v>4.6100000000000003</c:v>
                </c:pt>
                <c:pt idx="5">
                  <c:v>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32-0545-A35F-3F6367FF0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483344"/>
        <c:axId val="735820640"/>
      </c:scatterChart>
      <c:valAx>
        <c:axId val="180448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820640"/>
        <c:crosses val="autoZero"/>
        <c:crossBetween val="midCat"/>
      </c:valAx>
      <c:valAx>
        <c:axId val="73582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48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SC15 using</a:t>
            </a:r>
            <a:r>
              <a:rPr lang="en-US" baseline="0"/>
              <a:t> only 7.3 and 9.64 ages</a:t>
            </a:r>
            <a:endParaRPr lang="en-US"/>
          </a:p>
        </c:rich>
      </c:tx>
      <c:layout>
        <c:manualLayout>
          <c:xMode val="edge"/>
          <c:yMode val="edge"/>
          <c:x val="0.32715106637187807"/>
          <c:y val="4.2211576386334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637368408274631"/>
                  <c:y val="-0.204702218818674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'10Be_Model1'!$B$23:$B$24</c:f>
              <c:numCache>
                <c:formatCode>General</c:formatCode>
                <c:ptCount val="2"/>
                <c:pt idx="0">
                  <c:v>4.25</c:v>
                </c:pt>
                <c:pt idx="1">
                  <c:v>4.3</c:v>
                </c:pt>
              </c:numCache>
            </c:numRef>
          </c:xVal>
          <c:yVal>
            <c:numRef>
              <c:f>'10Be_Model1'!$D$23:$D$24</c:f>
              <c:numCache>
                <c:formatCode>General</c:formatCode>
                <c:ptCount val="2"/>
                <c:pt idx="0">
                  <c:v>7.3</c:v>
                </c:pt>
                <c:pt idx="1">
                  <c:v>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D4-D149-A981-4477D0C1B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483344"/>
        <c:axId val="735820640"/>
      </c:scatterChart>
      <c:valAx>
        <c:axId val="180448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820640"/>
        <c:crosses val="autoZero"/>
        <c:crossBetween val="midCat"/>
      </c:valAx>
      <c:valAx>
        <c:axId val="73582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48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35665573365764"/>
                  <c:y val="-0.181351051840653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('10Be_Model1'!$AM$3,'10Be_Model1'!$AM$5:$AM$8,'10Be_Model1'!$AO$3,'10Be_Model1'!$AO$5:$AO$8)</c:f>
              <c:numCache>
                <c:formatCode>General</c:formatCode>
                <c:ptCount val="10"/>
                <c:pt idx="0">
                  <c:v>0.53</c:v>
                </c:pt>
                <c:pt idx="1">
                  <c:v>0.9</c:v>
                </c:pt>
                <c:pt idx="2">
                  <c:v>1.45</c:v>
                </c:pt>
                <c:pt idx="3">
                  <c:v>2.2000000000000002</c:v>
                </c:pt>
                <c:pt idx="4">
                  <c:v>2.4500000000000002</c:v>
                </c:pt>
                <c:pt idx="5">
                  <c:v>1.87</c:v>
                </c:pt>
                <c:pt idx="6">
                  <c:v>2.06</c:v>
                </c:pt>
                <c:pt idx="7">
                  <c:v>2.59</c:v>
                </c:pt>
                <c:pt idx="8">
                  <c:v>3.34</c:v>
                </c:pt>
                <c:pt idx="9">
                  <c:v>3.58</c:v>
                </c:pt>
              </c:numCache>
            </c:numRef>
          </c:xVal>
          <c:yVal>
            <c:numRef>
              <c:f>('10Be_Model1'!$AO$3,'10Be_Model1'!$AO$5:$AO$8)</c:f>
              <c:numCache>
                <c:formatCode>General</c:formatCode>
                <c:ptCount val="5"/>
                <c:pt idx="0">
                  <c:v>1.87</c:v>
                </c:pt>
                <c:pt idx="1">
                  <c:v>2.06</c:v>
                </c:pt>
                <c:pt idx="2">
                  <c:v>2.59</c:v>
                </c:pt>
                <c:pt idx="3">
                  <c:v>3.34</c:v>
                </c:pt>
                <c:pt idx="4">
                  <c:v>3.58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D2-104B-87F8-0ED6FF67A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550096"/>
        <c:axId val="470551808"/>
      </c:scatterChart>
      <c:valAx>
        <c:axId val="47055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51808"/>
        <c:crosses val="autoZero"/>
        <c:crossBetween val="midCat"/>
      </c:valAx>
      <c:valAx>
        <c:axId val="47055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(ka)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5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SC14 avoid two problamatic datapoints</a:t>
            </a:r>
          </a:p>
        </c:rich>
      </c:tx>
      <c:layout>
        <c:manualLayout>
          <c:xMode val="edge"/>
          <c:yMode val="edge"/>
          <c:x val="0.32570806598202962"/>
          <c:y val="4.20933079374058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35665573365764"/>
                  <c:y val="-0.181351051840653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'10Be_Model1'!$AM$5:$AM$8</c:f>
              <c:numCache>
                <c:formatCode>General</c:formatCode>
                <c:ptCount val="4"/>
                <c:pt idx="0">
                  <c:v>0.9</c:v>
                </c:pt>
                <c:pt idx="1">
                  <c:v>1.45</c:v>
                </c:pt>
                <c:pt idx="2">
                  <c:v>2.2000000000000002</c:v>
                </c:pt>
                <c:pt idx="3">
                  <c:v>2.4500000000000002</c:v>
                </c:pt>
              </c:numCache>
            </c:numRef>
          </c:xVal>
          <c:yVal>
            <c:numRef>
              <c:f>'10Be_Model1'!$AO$5:$AO$8</c:f>
              <c:numCache>
                <c:formatCode>General</c:formatCode>
                <c:ptCount val="4"/>
                <c:pt idx="0">
                  <c:v>2.06</c:v>
                </c:pt>
                <c:pt idx="1">
                  <c:v>2.59</c:v>
                </c:pt>
                <c:pt idx="2">
                  <c:v>3.34</c:v>
                </c:pt>
                <c:pt idx="3">
                  <c:v>3.58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E5-BC40-AB91-9AC98F598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550096"/>
        <c:axId val="470551808"/>
      </c:scatterChart>
      <c:valAx>
        <c:axId val="47055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51808"/>
        <c:crosses val="autoZero"/>
        <c:crossBetween val="midCat"/>
      </c:valAx>
      <c:valAx>
        <c:axId val="47055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(ka)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5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53494169923817381"/>
                  <c:y val="-0.129640944152107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'10Be_Model1'!$AM$42:$AM$43</c:f>
              <c:numCache>
                <c:formatCode>General</c:formatCode>
                <c:ptCount val="2"/>
                <c:pt idx="0">
                  <c:v>7.32</c:v>
                </c:pt>
                <c:pt idx="1">
                  <c:v>8.42</c:v>
                </c:pt>
              </c:numCache>
            </c:numRef>
          </c:xVal>
          <c:yVal>
            <c:numRef>
              <c:f>'10Be_Model1'!$AO$42:$AO$43</c:f>
              <c:numCache>
                <c:formatCode>General</c:formatCode>
                <c:ptCount val="2"/>
                <c:pt idx="0">
                  <c:v>10.958</c:v>
                </c:pt>
                <c:pt idx="1">
                  <c:v>13.7775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76-4F46-9D2E-37D67A08A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586896"/>
        <c:axId val="728736256"/>
      </c:scatterChart>
      <c:valAx>
        <c:axId val="72858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736256"/>
        <c:crosses val="autoZero"/>
        <c:crossBetween val="midCat"/>
      </c:valAx>
      <c:valAx>
        <c:axId val="72873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58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53494169923817381"/>
                  <c:y val="-0.129640944152107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'10Be_Model1'!$AM$40:$AM$43</c:f>
              <c:numCache>
                <c:formatCode>General</c:formatCode>
                <c:ptCount val="4"/>
                <c:pt idx="0">
                  <c:v>1.2599999999999998</c:v>
                </c:pt>
                <c:pt idx="1">
                  <c:v>4.4700000000000006</c:v>
                </c:pt>
                <c:pt idx="2">
                  <c:v>7.32</c:v>
                </c:pt>
                <c:pt idx="3">
                  <c:v>8.42</c:v>
                </c:pt>
              </c:numCache>
            </c:numRef>
          </c:xVal>
          <c:yVal>
            <c:numRef>
              <c:f>'10Be_Model1'!$AO$40:$AO$43</c:f>
              <c:numCache>
                <c:formatCode>General</c:formatCode>
                <c:ptCount val="4"/>
                <c:pt idx="0">
                  <c:v>4.431</c:v>
                </c:pt>
                <c:pt idx="1">
                  <c:v>9.0030000000000001</c:v>
                </c:pt>
                <c:pt idx="2">
                  <c:v>10.958</c:v>
                </c:pt>
                <c:pt idx="3">
                  <c:v>13.7775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67-0F46-850D-B6F0EFC98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586896"/>
        <c:axId val="728736256"/>
      </c:scatterChart>
      <c:valAx>
        <c:axId val="72858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736256"/>
        <c:crosses val="autoZero"/>
        <c:crossBetween val="midCat"/>
      </c:valAx>
      <c:valAx>
        <c:axId val="72873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58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651085</xdr:colOff>
      <xdr:row>38</xdr:row>
      <xdr:rowOff>102567</xdr:rowOff>
    </xdr:from>
    <xdr:to>
      <xdr:col>12</xdr:col>
      <xdr:colOff>635966</xdr:colOff>
      <xdr:row>53</xdr:row>
      <xdr:rowOff>119501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B1E504-1343-273C-E8F2-0C7520E57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147198</xdr:colOff>
      <xdr:row>0</xdr:row>
      <xdr:rowOff>47656</xdr:rowOff>
    </xdr:from>
    <xdr:to>
      <xdr:col>13</xdr:col>
      <xdr:colOff>20924</xdr:colOff>
      <xdr:row>14</xdr:row>
      <xdr:rowOff>22981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40883D-89B0-F112-3AC4-1F3BFC6A5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34130</xdr:colOff>
      <xdr:row>17</xdr:row>
      <xdr:rowOff>129910</xdr:rowOff>
    </xdr:from>
    <xdr:to>
      <xdr:col>19</xdr:col>
      <xdr:colOff>578416</xdr:colOff>
      <xdr:row>31</xdr:row>
      <xdr:rowOff>127491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E4A4598-5FF9-1648-BF21-AC917C731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45825</xdr:colOff>
      <xdr:row>18</xdr:row>
      <xdr:rowOff>52371</xdr:rowOff>
    </xdr:from>
    <xdr:to>
      <xdr:col>26</xdr:col>
      <xdr:colOff>590111</xdr:colOff>
      <xdr:row>32</xdr:row>
      <xdr:rowOff>49953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9A5AC10-9ED5-FB49-A794-3B251A6AD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464794</xdr:colOff>
      <xdr:row>19</xdr:row>
      <xdr:rowOff>6547</xdr:rowOff>
    </xdr:from>
    <xdr:to>
      <xdr:col>34</xdr:col>
      <xdr:colOff>334801</xdr:colOff>
      <xdr:row>33</xdr:row>
      <xdr:rowOff>4129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8C74F39-A450-E64F-A61C-0BECAFD02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458248</xdr:colOff>
      <xdr:row>0</xdr:row>
      <xdr:rowOff>189845</xdr:rowOff>
    </xdr:from>
    <xdr:to>
      <xdr:col>28</xdr:col>
      <xdr:colOff>331974</xdr:colOff>
      <xdr:row>14</xdr:row>
      <xdr:rowOff>155756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ABAE648-8A59-0546-A72F-9D3DD1024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189846</xdr:colOff>
      <xdr:row>0</xdr:row>
      <xdr:rowOff>117835</xdr:rowOff>
    </xdr:from>
    <xdr:to>
      <xdr:col>20</xdr:col>
      <xdr:colOff>63572</xdr:colOff>
      <xdr:row>14</xdr:row>
      <xdr:rowOff>83746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E7F976D-1EC5-4F4F-87C4-AD7C81897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39</xdr:row>
      <xdr:rowOff>0</xdr:rowOff>
    </xdr:from>
    <xdr:to>
      <xdr:col>21</xdr:col>
      <xdr:colOff>659160</xdr:colOff>
      <xdr:row>54</xdr:row>
      <xdr:rowOff>16934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1C0033-9E38-6749-A66D-A898B4E2F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0</xdr:colOff>
      <xdr:row>39</xdr:row>
      <xdr:rowOff>0</xdr:rowOff>
    </xdr:from>
    <xdr:to>
      <xdr:col>29</xdr:col>
      <xdr:colOff>659160</xdr:colOff>
      <xdr:row>54</xdr:row>
      <xdr:rowOff>16934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F1853D-7ABC-9648-B11A-351A158BE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E14"/>
  <sheetViews>
    <sheetView workbookViewId="0">
      <selection activeCell="J14" sqref="J14"/>
    </sheetView>
  </sheetViews>
  <sheetFormatPr baseColWidth="10" defaultColWidth="8.83203125" defaultRowHeight="15" x14ac:dyDescent="0.2"/>
  <sheetData>
    <row r="5" spans="3:5" x14ac:dyDescent="0.2">
      <c r="C5" t="s">
        <v>0</v>
      </c>
    </row>
    <row r="6" spans="3:5" x14ac:dyDescent="0.2">
      <c r="C6" t="s">
        <v>1</v>
      </c>
    </row>
    <row r="7" spans="3:5" x14ac:dyDescent="0.2">
      <c r="C7" t="s">
        <v>2</v>
      </c>
    </row>
    <row r="8" spans="3:5" x14ac:dyDescent="0.2">
      <c r="C8" t="s">
        <v>15</v>
      </c>
    </row>
    <row r="10" spans="3:5" x14ac:dyDescent="0.2">
      <c r="C10" s="1" t="s">
        <v>16</v>
      </c>
    </row>
    <row r="11" spans="3:5" x14ac:dyDescent="0.2">
      <c r="C11" s="1" t="s">
        <v>11</v>
      </c>
      <c r="E11" t="s">
        <v>3</v>
      </c>
    </row>
    <row r="12" spans="3:5" x14ac:dyDescent="0.2">
      <c r="C12" s="1" t="s">
        <v>12</v>
      </c>
    </row>
    <row r="13" spans="3:5" x14ac:dyDescent="0.2">
      <c r="C13" s="1" t="s">
        <v>13</v>
      </c>
      <c r="E13" t="s">
        <v>4</v>
      </c>
    </row>
    <row r="14" spans="3:5" x14ac:dyDescent="0.2">
      <c r="C14" s="1" t="s">
        <v>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57"/>
  <sheetViews>
    <sheetView tabSelected="1" topLeftCell="A4" zoomScale="194" zoomScaleNormal="210" workbookViewId="0">
      <selection activeCell="X61" sqref="X61"/>
    </sheetView>
  </sheetViews>
  <sheetFormatPr baseColWidth="10" defaultColWidth="8.83203125" defaultRowHeight="15" x14ac:dyDescent="0.2"/>
  <cols>
    <col min="1" max="1" width="15.33203125" customWidth="1"/>
    <col min="2" max="3" width="16.33203125" bestFit="1" customWidth="1"/>
    <col min="4" max="5" width="14.33203125" bestFit="1" customWidth="1"/>
  </cols>
  <sheetData>
    <row r="1" spans="1:42" ht="16" thickBot="1" x14ac:dyDescent="0.25">
      <c r="A1" t="s">
        <v>10</v>
      </c>
      <c r="B1" t="s">
        <v>11</v>
      </c>
      <c r="C1" t="s">
        <v>12</v>
      </c>
      <c r="D1" t="s">
        <v>24</v>
      </c>
      <c r="E1" t="s">
        <v>25</v>
      </c>
      <c r="F1" t="s">
        <v>31</v>
      </c>
    </row>
    <row r="2" spans="1:42" ht="16" thickBot="1" x14ac:dyDescent="0.25">
      <c r="A2" s="10" t="s">
        <v>17</v>
      </c>
      <c r="B2" s="11">
        <v>0</v>
      </c>
      <c r="C2" s="11">
        <v>0</v>
      </c>
      <c r="D2" s="11">
        <v>0.2</v>
      </c>
      <c r="E2" s="12">
        <v>0.05</v>
      </c>
      <c r="AL2" s="2" t="s">
        <v>21</v>
      </c>
      <c r="AM2" s="3">
        <v>0</v>
      </c>
      <c r="AN2" s="3">
        <v>0</v>
      </c>
      <c r="AO2" s="3">
        <v>0.2</v>
      </c>
      <c r="AP2" s="4">
        <v>0.05</v>
      </c>
    </row>
    <row r="3" spans="1:42" ht="16" thickBot="1" x14ac:dyDescent="0.25">
      <c r="A3" s="2" t="s">
        <v>18</v>
      </c>
      <c r="B3" s="3">
        <v>0</v>
      </c>
      <c r="C3" s="3">
        <v>0</v>
      </c>
      <c r="D3" s="3">
        <v>0.2</v>
      </c>
      <c r="E3" s="4">
        <v>0.05</v>
      </c>
      <c r="AL3" s="18" t="s">
        <v>30</v>
      </c>
      <c r="AM3" s="19">
        <v>0.53</v>
      </c>
      <c r="AN3" s="19">
        <v>0</v>
      </c>
      <c r="AO3" s="19">
        <v>1.87</v>
      </c>
      <c r="AP3" s="20">
        <v>0.06</v>
      </c>
    </row>
    <row r="4" spans="1:42" ht="16" thickBot="1" x14ac:dyDescent="0.25">
      <c r="A4" s="2" t="s">
        <v>18</v>
      </c>
      <c r="B4">
        <f>AVERAGE(AM3:AM4)</f>
        <v>0.64</v>
      </c>
      <c r="C4">
        <f>AVERAGE(AN3:AN4)</f>
        <v>0</v>
      </c>
      <c r="D4">
        <f>AVERAGE(AO3:AO4)</f>
        <v>1.84</v>
      </c>
      <c r="E4">
        <v>0.06</v>
      </c>
      <c r="F4" t="s">
        <v>36</v>
      </c>
      <c r="AL4" s="18" t="s">
        <v>30</v>
      </c>
      <c r="AM4" s="19">
        <v>0.75</v>
      </c>
      <c r="AN4" s="19">
        <v>0</v>
      </c>
      <c r="AO4" s="19">
        <v>1.81</v>
      </c>
      <c r="AP4" s="20">
        <v>7.0000000000000007E-2</v>
      </c>
    </row>
    <row r="5" spans="1:42" ht="16" thickBot="1" x14ac:dyDescent="0.25">
      <c r="A5" s="5" t="s">
        <v>18</v>
      </c>
      <c r="B5">
        <v>0.9</v>
      </c>
      <c r="C5" s="3">
        <v>0</v>
      </c>
      <c r="D5">
        <v>2.06</v>
      </c>
      <c r="E5" s="6">
        <v>7.0000000000000007E-2</v>
      </c>
      <c r="AL5" s="5" t="s">
        <v>21</v>
      </c>
      <c r="AM5">
        <v>0.9</v>
      </c>
      <c r="AN5">
        <v>0</v>
      </c>
      <c r="AO5">
        <v>2.06</v>
      </c>
      <c r="AP5" s="6">
        <v>7.0000000000000007E-2</v>
      </c>
    </row>
    <row r="6" spans="1:42" ht="16" thickBot="1" x14ac:dyDescent="0.25">
      <c r="A6" s="2" t="s">
        <v>21</v>
      </c>
      <c r="B6" s="3">
        <v>0</v>
      </c>
      <c r="C6" s="3">
        <v>0</v>
      </c>
      <c r="D6" s="3">
        <v>0.2</v>
      </c>
      <c r="E6" s="4">
        <v>0.05</v>
      </c>
      <c r="AL6" s="5" t="s">
        <v>21</v>
      </c>
      <c r="AM6">
        <v>1.45</v>
      </c>
      <c r="AN6">
        <v>0</v>
      </c>
      <c r="AO6">
        <v>2.59</v>
      </c>
      <c r="AP6" s="6">
        <v>0.12</v>
      </c>
    </row>
    <row r="7" spans="1:42" x14ac:dyDescent="0.2">
      <c r="A7" s="2" t="s">
        <v>21</v>
      </c>
      <c r="B7">
        <f>B4</f>
        <v>0.64</v>
      </c>
      <c r="C7">
        <f t="shared" ref="C7:E7" si="0">C4</f>
        <v>0</v>
      </c>
      <c r="D7">
        <f t="shared" si="0"/>
        <v>1.84</v>
      </c>
      <c r="E7">
        <f t="shared" si="0"/>
        <v>0.06</v>
      </c>
      <c r="P7" s="13"/>
      <c r="AL7" s="18" t="s">
        <v>34</v>
      </c>
      <c r="AM7" s="19">
        <v>2.2000000000000002</v>
      </c>
      <c r="AN7" s="19">
        <v>0</v>
      </c>
      <c r="AO7" s="19">
        <v>3.34</v>
      </c>
      <c r="AP7" s="20">
        <v>0.03</v>
      </c>
    </row>
    <row r="8" spans="1:42" x14ac:dyDescent="0.2">
      <c r="A8" s="5" t="s">
        <v>21</v>
      </c>
      <c r="B8">
        <v>0.9</v>
      </c>
      <c r="C8">
        <v>0</v>
      </c>
      <c r="D8">
        <v>2.06</v>
      </c>
      <c r="E8" s="6">
        <v>7.0000000000000007E-2</v>
      </c>
      <c r="P8" s="13"/>
      <c r="AL8" t="str">
        <f>AL7</f>
        <v>SC14S1</v>
      </c>
      <c r="AM8" s="19">
        <v>2.4500000000000002</v>
      </c>
      <c r="AN8" s="19">
        <v>0</v>
      </c>
      <c r="AO8" s="19">
        <v>3.58</v>
      </c>
      <c r="AP8" s="20">
        <v>0.05</v>
      </c>
    </row>
    <row r="9" spans="1:42" ht="16" thickBot="1" x14ac:dyDescent="0.25">
      <c r="A9" s="5" t="s">
        <v>21</v>
      </c>
      <c r="B9">
        <v>1.45</v>
      </c>
      <c r="C9">
        <v>0</v>
      </c>
      <c r="D9">
        <v>2.59</v>
      </c>
      <c r="E9" s="6">
        <v>0.12</v>
      </c>
      <c r="F9" t="s">
        <v>36</v>
      </c>
      <c r="P9" s="13"/>
      <c r="AL9" t="s">
        <v>38</v>
      </c>
      <c r="AM9">
        <v>0.64</v>
      </c>
      <c r="AN9">
        <v>0</v>
      </c>
      <c r="AO9">
        <v>1.84</v>
      </c>
      <c r="AP9">
        <v>0.06</v>
      </c>
    </row>
    <row r="10" spans="1:42" x14ac:dyDescent="0.2">
      <c r="A10" s="2" t="s">
        <v>22</v>
      </c>
      <c r="B10" s="3">
        <v>0</v>
      </c>
      <c r="C10" s="3">
        <v>0</v>
      </c>
      <c r="D10" s="3">
        <v>0.54</v>
      </c>
      <c r="E10" s="4">
        <v>0.05</v>
      </c>
      <c r="P10" s="14"/>
    </row>
    <row r="11" spans="1:42" x14ac:dyDescent="0.2">
      <c r="A11" s="5" t="s">
        <v>22</v>
      </c>
      <c r="B11">
        <v>0.5</v>
      </c>
      <c r="C11">
        <v>0</v>
      </c>
      <c r="D11">
        <v>1.31</v>
      </c>
      <c r="E11" s="6">
        <v>0.03</v>
      </c>
      <c r="P11" s="14"/>
    </row>
    <row r="12" spans="1:42" x14ac:dyDescent="0.2">
      <c r="A12" s="5" t="s">
        <v>22</v>
      </c>
      <c r="B12">
        <v>1.2</v>
      </c>
      <c r="C12">
        <v>0</v>
      </c>
      <c r="D12">
        <v>2.4500000000000002</v>
      </c>
      <c r="E12" s="6">
        <v>0.08</v>
      </c>
      <c r="P12" s="15"/>
    </row>
    <row r="13" spans="1:42" x14ac:dyDescent="0.2">
      <c r="A13" s="5" t="s">
        <v>22</v>
      </c>
      <c r="B13">
        <v>1.9</v>
      </c>
      <c r="C13">
        <v>0</v>
      </c>
      <c r="D13">
        <v>3.63</v>
      </c>
      <c r="E13" s="6">
        <v>0.04</v>
      </c>
      <c r="P13" s="15"/>
    </row>
    <row r="14" spans="1:42" x14ac:dyDescent="0.2">
      <c r="A14" s="5" t="s">
        <v>22</v>
      </c>
      <c r="B14">
        <v>2.5</v>
      </c>
      <c r="C14">
        <v>0</v>
      </c>
      <c r="D14">
        <v>4.5599999999999996</v>
      </c>
      <c r="E14" s="6">
        <v>0.03</v>
      </c>
    </row>
    <row r="15" spans="1:42" ht="16" thickBot="1" x14ac:dyDescent="0.25">
      <c r="A15" s="5" t="s">
        <v>22</v>
      </c>
      <c r="B15">
        <v>2.7</v>
      </c>
      <c r="C15">
        <v>0</v>
      </c>
      <c r="D15">
        <v>4.6100000000000003</v>
      </c>
      <c r="E15" s="6">
        <v>0.03</v>
      </c>
    </row>
    <row r="16" spans="1:42" x14ac:dyDescent="0.2">
      <c r="A16" s="2" t="s">
        <v>23</v>
      </c>
      <c r="B16" s="3">
        <v>0</v>
      </c>
      <c r="C16" s="3">
        <v>0</v>
      </c>
      <c r="D16" s="3">
        <v>0.54</v>
      </c>
      <c r="E16" s="4">
        <v>0.05</v>
      </c>
      <c r="Q16" s="17" t="s">
        <v>26</v>
      </c>
      <c r="Z16" t="s">
        <v>26</v>
      </c>
    </row>
    <row r="17" spans="1:36" x14ac:dyDescent="0.2">
      <c r="A17" s="5" t="s">
        <v>23</v>
      </c>
      <c r="B17">
        <v>0.5</v>
      </c>
      <c r="C17">
        <v>0</v>
      </c>
      <c r="D17">
        <v>1.31</v>
      </c>
      <c r="E17" s="6">
        <v>0.03</v>
      </c>
      <c r="Q17" s="17">
        <f>0.9841*0.91+1.1704</f>
        <v>2.065931</v>
      </c>
      <c r="Z17">
        <f>1.0736*0.95+1.0439</f>
        <v>2.0638200000000002</v>
      </c>
      <c r="AA17">
        <f>0.9318*0.91+1.2347</f>
        <v>2.0826379999999998</v>
      </c>
      <c r="AD17">
        <f>0.9699*0.905+1.2</f>
        <v>2.0777595</v>
      </c>
    </row>
    <row r="18" spans="1:36" x14ac:dyDescent="0.2">
      <c r="A18" s="5" t="s">
        <v>23</v>
      </c>
      <c r="B18">
        <v>1.2</v>
      </c>
      <c r="C18">
        <v>0</v>
      </c>
      <c r="D18">
        <v>2.4500000000000002</v>
      </c>
      <c r="E18" s="6">
        <v>0.08</v>
      </c>
    </row>
    <row r="19" spans="1:36" x14ac:dyDescent="0.2">
      <c r="A19" s="5" t="s">
        <v>23</v>
      </c>
      <c r="B19">
        <v>1.9</v>
      </c>
      <c r="C19">
        <v>0</v>
      </c>
      <c r="D19">
        <v>3.63</v>
      </c>
      <c r="E19" s="6">
        <v>0.04</v>
      </c>
      <c r="AJ19" s="1"/>
    </row>
    <row r="20" spans="1:36" x14ac:dyDescent="0.2">
      <c r="A20" s="5" t="s">
        <v>23</v>
      </c>
      <c r="B20">
        <v>2.5</v>
      </c>
      <c r="C20">
        <v>0</v>
      </c>
      <c r="D20">
        <v>4.5599999999999996</v>
      </c>
      <c r="E20" s="6">
        <v>0.03</v>
      </c>
    </row>
    <row r="21" spans="1:36" ht="16" thickBot="1" x14ac:dyDescent="0.25">
      <c r="A21" s="5" t="s">
        <v>23</v>
      </c>
      <c r="B21">
        <v>2.7</v>
      </c>
      <c r="C21">
        <v>0</v>
      </c>
      <c r="D21">
        <v>4.6100000000000003</v>
      </c>
      <c r="E21" s="6">
        <v>0.03</v>
      </c>
    </row>
    <row r="22" spans="1:36" x14ac:dyDescent="0.2">
      <c r="A22" s="5" t="s">
        <v>23</v>
      </c>
      <c r="B22">
        <f>AVERAGE(B23:B24)</f>
        <v>4.2750000000000004</v>
      </c>
      <c r="C22">
        <v>0</v>
      </c>
      <c r="D22">
        <f>AVERAGE(D23:D24)</f>
        <v>8.4499999999999993</v>
      </c>
      <c r="E22" s="6">
        <v>0.05</v>
      </c>
      <c r="F22" t="s">
        <v>37</v>
      </c>
      <c r="J22" s="3"/>
      <c r="K22" s="3"/>
      <c r="L22" s="4"/>
    </row>
    <row r="23" spans="1:36" x14ac:dyDescent="0.2">
      <c r="A23" s="18" t="s">
        <v>29</v>
      </c>
      <c r="B23" s="19">
        <v>4.25</v>
      </c>
      <c r="C23" s="19">
        <v>0</v>
      </c>
      <c r="D23" s="19">
        <v>7.3</v>
      </c>
      <c r="E23" s="20">
        <v>0.04</v>
      </c>
      <c r="L23" s="6"/>
    </row>
    <row r="24" spans="1:36" ht="16" thickBot="1" x14ac:dyDescent="0.25">
      <c r="A24" s="18" t="s">
        <v>29</v>
      </c>
      <c r="B24" s="19">
        <v>4.3</v>
      </c>
      <c r="C24" s="19">
        <v>0</v>
      </c>
      <c r="D24" s="19">
        <v>9.6</v>
      </c>
      <c r="E24" s="20">
        <v>0.05</v>
      </c>
      <c r="L24" s="6"/>
    </row>
    <row r="25" spans="1:36" x14ac:dyDescent="0.2">
      <c r="A25" s="2" t="s">
        <v>20</v>
      </c>
      <c r="B25" s="3">
        <f>14.32-14.32</f>
        <v>0</v>
      </c>
      <c r="C25" s="3">
        <v>0</v>
      </c>
      <c r="D25" s="3">
        <v>3.41</v>
      </c>
      <c r="E25" s="4">
        <v>0.05</v>
      </c>
      <c r="L25" s="6"/>
    </row>
    <row r="26" spans="1:36" ht="16" thickBot="1" x14ac:dyDescent="0.25">
      <c r="A26" s="7" t="s">
        <v>20</v>
      </c>
      <c r="B26" s="8">
        <f>14.32-13.06</f>
        <v>1.2599999999999998</v>
      </c>
      <c r="C26" s="8">
        <v>0</v>
      </c>
      <c r="D26" s="8">
        <v>3.98</v>
      </c>
      <c r="E26" s="9">
        <v>0.04</v>
      </c>
      <c r="L26" s="6"/>
    </row>
    <row r="27" spans="1:36" x14ac:dyDescent="0.2">
      <c r="A27" s="2" t="s">
        <v>19</v>
      </c>
      <c r="B27" s="3">
        <f>14.32-14.32</f>
        <v>0</v>
      </c>
      <c r="C27" s="3">
        <v>0</v>
      </c>
      <c r="D27" s="3">
        <v>3.41</v>
      </c>
      <c r="E27" s="4">
        <v>0.05</v>
      </c>
      <c r="L27" s="6"/>
    </row>
    <row r="28" spans="1:36" x14ac:dyDescent="0.2">
      <c r="A28" s="5" t="s">
        <v>19</v>
      </c>
      <c r="B28">
        <f>14.32-13.06</f>
        <v>1.2599999999999998</v>
      </c>
      <c r="C28">
        <v>0</v>
      </c>
      <c r="D28">
        <f>0.001*AVERAGE(4296,4566)</f>
        <v>4.431</v>
      </c>
      <c r="E28" s="6">
        <f>0.001*(4566-4298)/2</f>
        <v>0.13400000000000001</v>
      </c>
      <c r="L28" s="6"/>
    </row>
    <row r="29" spans="1:36" x14ac:dyDescent="0.2">
      <c r="A29" s="5" t="s">
        <v>19</v>
      </c>
      <c r="B29">
        <f>14.32-9.85</f>
        <v>4.4700000000000006</v>
      </c>
      <c r="C29">
        <v>0</v>
      </c>
      <c r="D29">
        <f>0.001*AVERAGE(8772,9234)</f>
        <v>9.0030000000000001</v>
      </c>
      <c r="E29" s="6">
        <f>0.001*(9234-8772)/2</f>
        <v>0.23100000000000001</v>
      </c>
      <c r="L29" s="6"/>
    </row>
    <row r="30" spans="1:36" ht="16" thickBot="1" x14ac:dyDescent="0.25">
      <c r="A30" s="7" t="s">
        <v>19</v>
      </c>
      <c r="B30" s="8">
        <f>14.32-7</f>
        <v>7.32</v>
      </c>
      <c r="C30" s="8">
        <v>0</v>
      </c>
      <c r="D30" s="8">
        <f>0.001*AVERAGE(10756,11160)</f>
        <v>10.958</v>
      </c>
      <c r="E30" s="9">
        <f>0.001*(11160-10756)/2</f>
        <v>0.20200000000000001</v>
      </c>
    </row>
    <row r="35" spans="17:42" x14ac:dyDescent="0.2">
      <c r="Q35" s="17" t="s">
        <v>27</v>
      </c>
      <c r="W35" s="22" t="s">
        <v>27</v>
      </c>
    </row>
    <row r="36" spans="17:42" x14ac:dyDescent="0.2">
      <c r="Q36" s="17">
        <f>1.5493*2.95+0.5852</f>
        <v>5.1556350000000002</v>
      </c>
      <c r="W36" s="22">
        <f>1.5786*2.95+0.5415</f>
        <v>5.1983700000000006</v>
      </c>
    </row>
    <row r="37" spans="17:42" x14ac:dyDescent="0.2">
      <c r="Q37" s="17" t="s">
        <v>28</v>
      </c>
      <c r="R37" t="s">
        <v>33</v>
      </c>
      <c r="W37" s="22" t="s">
        <v>28</v>
      </c>
      <c r="AD37" s="22" t="s">
        <v>28</v>
      </c>
    </row>
    <row r="38" spans="17:42" ht="16" thickBot="1" x14ac:dyDescent="0.25">
      <c r="Q38" s="17">
        <f>1.5493*4.6+0.5852 +(9.64-7.3)</f>
        <v>10.05198</v>
      </c>
      <c r="R38" t="s">
        <v>32</v>
      </c>
      <c r="W38" s="22">
        <f>1.5786*4.6+0.5415</f>
        <v>7.8030599999999994</v>
      </c>
      <c r="AD38">
        <f>46*4.6-188.2</f>
        <v>23.400000000000006</v>
      </c>
      <c r="AE38" t="s">
        <v>35</v>
      </c>
    </row>
    <row r="39" spans="17:42" x14ac:dyDescent="0.2">
      <c r="AM39" s="3">
        <f>14.32-14.32</f>
        <v>0</v>
      </c>
      <c r="AN39" s="3">
        <v>0</v>
      </c>
      <c r="AO39" s="3">
        <v>3.41</v>
      </c>
      <c r="AP39" s="4">
        <v>0.05</v>
      </c>
    </row>
    <row r="40" spans="17:42" x14ac:dyDescent="0.2">
      <c r="AM40">
        <f>14.32-13.06</f>
        <v>1.2599999999999998</v>
      </c>
      <c r="AN40">
        <v>0</v>
      </c>
      <c r="AO40">
        <f>0.001*AVERAGE(4296,4566)</f>
        <v>4.431</v>
      </c>
      <c r="AP40" s="6">
        <f>0.001*(4566-4298)/2</f>
        <v>0.13400000000000001</v>
      </c>
    </row>
    <row r="41" spans="17:42" x14ac:dyDescent="0.2">
      <c r="AM41">
        <f>14.32-9.85</f>
        <v>4.4700000000000006</v>
      </c>
      <c r="AN41">
        <v>0</v>
      </c>
      <c r="AO41">
        <f>0.001*AVERAGE(8772,9234)</f>
        <v>9.0030000000000001</v>
      </c>
      <c r="AP41" s="6">
        <f>0.001*(9234-8772)/2</f>
        <v>0.23100000000000001</v>
      </c>
    </row>
    <row r="42" spans="17:42" ht="16" thickBot="1" x14ac:dyDescent="0.25">
      <c r="AM42" s="8">
        <f>14.32-7</f>
        <v>7.32</v>
      </c>
      <c r="AN42" s="8">
        <v>0</v>
      </c>
      <c r="AO42" s="8">
        <f>0.001*AVERAGE(10756,11160)</f>
        <v>10.958</v>
      </c>
      <c r="AP42" s="9">
        <f>0.001*(11160-10756)/2</f>
        <v>0.20200000000000001</v>
      </c>
    </row>
    <row r="43" spans="17:42" x14ac:dyDescent="0.2">
      <c r="AM43">
        <f>14.32-5.9</f>
        <v>8.42</v>
      </c>
      <c r="AN43" s="21">
        <v>0</v>
      </c>
      <c r="AO43">
        <f>0.001*AVERAGE(13659,13896)</f>
        <v>13.7775</v>
      </c>
    </row>
    <row r="56" spans="18:26" x14ac:dyDescent="0.2">
      <c r="R56" s="22" t="s">
        <v>39</v>
      </c>
      <c r="Z56" s="17" t="s">
        <v>39</v>
      </c>
    </row>
    <row r="57" spans="18:26" x14ac:dyDescent="0.2">
      <c r="R57" s="22">
        <f>2.5632*7.82-7.8045</f>
        <v>12.239724000000002</v>
      </c>
      <c r="Z57" s="17">
        <f>1.2066*7.82+3.0661</f>
        <v>12.501711999999999</v>
      </c>
    </row>
  </sheetData>
  <phoneticPr fontId="2" type="noConversion"/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D31" sqref="D31"/>
    </sheetView>
  </sheetViews>
  <sheetFormatPr baseColWidth="10" defaultColWidth="8.83203125" defaultRowHeight="15" x14ac:dyDescent="0.2"/>
  <cols>
    <col min="2" max="2" width="10.5" bestFit="1" customWidth="1"/>
    <col min="3" max="3" width="16.33203125" bestFit="1" customWidth="1"/>
    <col min="5" max="5" width="14.33203125" bestFit="1" customWidth="1"/>
  </cols>
  <sheetData>
    <row r="1" spans="1:5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">
      <c r="A2" t="s">
        <v>5</v>
      </c>
      <c r="B2">
        <v>0</v>
      </c>
      <c r="C2">
        <v>0</v>
      </c>
      <c r="D2">
        <v>71.099999999999994</v>
      </c>
      <c r="E2">
        <v>7.5</v>
      </c>
    </row>
    <row r="3" spans="1:5" x14ac:dyDescent="0.2">
      <c r="A3" t="s">
        <v>6</v>
      </c>
      <c r="B3">
        <v>0</v>
      </c>
      <c r="C3">
        <v>0</v>
      </c>
      <c r="D3">
        <v>10.8</v>
      </c>
      <c r="E3">
        <v>1.2</v>
      </c>
    </row>
    <row r="4" spans="1:5" x14ac:dyDescent="0.2">
      <c r="A4" t="s">
        <v>7</v>
      </c>
      <c r="B4">
        <v>0</v>
      </c>
      <c r="C4">
        <v>0</v>
      </c>
      <c r="D4">
        <v>10.8</v>
      </c>
      <c r="E4">
        <v>1.2</v>
      </c>
    </row>
    <row r="5" spans="1:5" x14ac:dyDescent="0.2">
      <c r="A5" t="s">
        <v>7</v>
      </c>
      <c r="B5">
        <v>5</v>
      </c>
      <c r="C5">
        <v>1</v>
      </c>
      <c r="D5">
        <v>28</v>
      </c>
      <c r="E5">
        <v>2</v>
      </c>
    </row>
    <row r="6" spans="1:5" x14ac:dyDescent="0.2">
      <c r="A6" t="s">
        <v>7</v>
      </c>
      <c r="B6">
        <v>5.5</v>
      </c>
      <c r="C6">
        <v>1</v>
      </c>
      <c r="D6">
        <v>49</v>
      </c>
      <c r="E6">
        <v>4</v>
      </c>
    </row>
    <row r="7" spans="1:5" x14ac:dyDescent="0.2">
      <c r="A7" t="s">
        <v>8</v>
      </c>
      <c r="B7">
        <v>0</v>
      </c>
      <c r="C7">
        <v>0</v>
      </c>
      <c r="D7">
        <v>10.8</v>
      </c>
      <c r="E7">
        <v>1.2</v>
      </c>
    </row>
    <row r="8" spans="1:5" x14ac:dyDescent="0.2">
      <c r="A8" t="s">
        <v>9</v>
      </c>
      <c r="B8">
        <v>0</v>
      </c>
      <c r="C8">
        <v>0</v>
      </c>
      <c r="D8">
        <v>10.8</v>
      </c>
      <c r="E8">
        <v>1.2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>
      <selection activeCell="G32" sqref="G32"/>
    </sheetView>
  </sheetViews>
  <sheetFormatPr baseColWidth="10" defaultColWidth="8.83203125" defaultRowHeight="15" x14ac:dyDescent="0.2"/>
  <cols>
    <col min="3" max="3" width="12.1640625" customWidth="1"/>
  </cols>
  <sheetData>
    <row r="1" spans="1:5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>
      <selection activeCell="F11" sqref="A2:F11"/>
    </sheetView>
  </sheetViews>
  <sheetFormatPr baseColWidth="10" defaultColWidth="8.83203125" defaultRowHeight="15" x14ac:dyDescent="0.2"/>
  <sheetData>
    <row r="1" spans="1:5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EAAE1-B923-AF4E-A6D7-83F07FBD56E9}">
  <dimension ref="A1:F44"/>
  <sheetViews>
    <sheetView zoomScale="186" workbookViewId="0">
      <selection activeCell="G6" sqref="G6"/>
    </sheetView>
  </sheetViews>
  <sheetFormatPr baseColWidth="10" defaultRowHeight="15" x14ac:dyDescent="0.2"/>
  <sheetData>
    <row r="1" spans="1:6" x14ac:dyDescent="0.2">
      <c r="A1" s="16" t="str">
        <f>'10Be_Model1'!A1</f>
        <v>Sample</v>
      </c>
      <c r="B1" s="16" t="str">
        <f>'10Be_Model1'!B1</f>
        <v>depths (m)</v>
      </c>
      <c r="C1" s="16" t="str">
        <f>'10Be_Model1'!C1</f>
        <v>depth uncerts (m)</v>
      </c>
      <c r="D1" s="16" t="str">
        <f>'10Be_Model1'!D1</f>
        <v xml:space="preserve">age (ka) </v>
      </c>
      <c r="E1" s="16" t="str">
        <f>'10Be_Model1'!E1</f>
        <v>age uncerts (ka) (Difference in 2signma)</v>
      </c>
      <c r="F1" s="16" t="str">
        <f>'10Be_Model1'!F1</f>
        <v>Notes</v>
      </c>
    </row>
    <row r="2" spans="1:6" x14ac:dyDescent="0.2">
      <c r="A2" s="16" t="str">
        <f>'10Be_Model1'!A2</f>
        <v>SC-14-S4</v>
      </c>
      <c r="B2" s="16">
        <f>'10Be_Model1'!B2</f>
        <v>0</v>
      </c>
      <c r="C2" s="16">
        <f>'10Be_Model1'!C2</f>
        <v>0</v>
      </c>
      <c r="D2" s="16">
        <f>'10Be_Model1'!D2</f>
        <v>0.2</v>
      </c>
      <c r="E2" s="16">
        <f>'10Be_Model1'!E2</f>
        <v>0.05</v>
      </c>
      <c r="F2" s="16"/>
    </row>
    <row r="3" spans="1:6" x14ac:dyDescent="0.2">
      <c r="A3" s="16" t="str">
        <f>'10Be_Model1'!A3</f>
        <v>SC-14-S3</v>
      </c>
      <c r="B3" s="16">
        <f>'10Be_Model1'!B3</f>
        <v>0</v>
      </c>
      <c r="C3" s="16">
        <f>'10Be_Model1'!C3</f>
        <v>0</v>
      </c>
      <c r="D3" s="16">
        <f>'10Be_Model1'!D3</f>
        <v>0.2</v>
      </c>
      <c r="E3" s="16">
        <f>'10Be_Model1'!E3</f>
        <v>0.05</v>
      </c>
      <c r="F3" s="16"/>
    </row>
    <row r="4" spans="1:6" x14ac:dyDescent="0.2">
      <c r="A4" s="16" t="str">
        <f>'10Be_Model1'!A4</f>
        <v>SC-14-S3</v>
      </c>
      <c r="B4" s="16">
        <f>'10Be_Model1'!B4</f>
        <v>0.64</v>
      </c>
      <c r="C4" s="16">
        <f>'10Be_Model1'!C4</f>
        <v>0</v>
      </c>
      <c r="D4" s="16">
        <f>'10Be_Model1'!D4</f>
        <v>1.84</v>
      </c>
      <c r="E4" s="16">
        <f>'10Be_Model1'!E4</f>
        <v>0.06</v>
      </c>
      <c r="F4" s="16" t="str">
        <f>'10Be_Model1'!F4</f>
        <v>*Averaged out inverse ages which will throw up an error in postpro (can't have younger below older duh)</v>
      </c>
    </row>
    <row r="5" spans="1:6" x14ac:dyDescent="0.2">
      <c r="A5" s="16" t="str">
        <f>'10Be_Model1'!A5</f>
        <v>SC-14-S3</v>
      </c>
      <c r="B5" s="16">
        <f>'10Be_Model1'!B5</f>
        <v>0.9</v>
      </c>
      <c r="C5" s="16">
        <f>'10Be_Model1'!C5</f>
        <v>0</v>
      </c>
      <c r="D5" s="16">
        <f>'10Be_Model1'!D5</f>
        <v>2.06</v>
      </c>
      <c r="E5" s="16">
        <f>'10Be_Model1'!E5</f>
        <v>7.0000000000000007E-2</v>
      </c>
      <c r="F5" s="16"/>
    </row>
    <row r="6" spans="1:6" x14ac:dyDescent="0.2">
      <c r="A6" s="16" t="str">
        <f>'10Be_Model1'!A6</f>
        <v>SC-14-S2</v>
      </c>
      <c r="B6" s="16">
        <f>'10Be_Model1'!B6</f>
        <v>0</v>
      </c>
      <c r="C6" s="16">
        <f>'10Be_Model1'!C6</f>
        <v>0</v>
      </c>
      <c r="D6" s="16">
        <f>'10Be_Model1'!D6</f>
        <v>0.2</v>
      </c>
      <c r="E6" s="16">
        <f>'10Be_Model1'!E6</f>
        <v>0.05</v>
      </c>
      <c r="F6" s="16"/>
    </row>
    <row r="7" spans="1:6" x14ac:dyDescent="0.2">
      <c r="A7" s="16" t="str">
        <f>'10Be_Model1'!A7</f>
        <v>SC-14-S2</v>
      </c>
      <c r="B7" s="16">
        <f>'10Be_Model1'!B7</f>
        <v>0.64</v>
      </c>
      <c r="C7" s="16">
        <f>'10Be_Model1'!C7</f>
        <v>0</v>
      </c>
      <c r="D7" s="16">
        <f>'10Be_Model1'!D7</f>
        <v>1.84</v>
      </c>
      <c r="E7" s="16">
        <f>'10Be_Model1'!E7</f>
        <v>0.06</v>
      </c>
      <c r="F7" s="16"/>
    </row>
    <row r="8" spans="1:6" x14ac:dyDescent="0.2">
      <c r="A8" s="16" t="str">
        <f>'10Be_Model1'!A8</f>
        <v>SC-14-S2</v>
      </c>
      <c r="B8" s="16">
        <f>'10Be_Model1'!B8</f>
        <v>0.9</v>
      </c>
      <c r="C8" s="16">
        <f>'10Be_Model1'!C8</f>
        <v>0</v>
      </c>
      <c r="D8" s="16">
        <f>'10Be_Model1'!D8</f>
        <v>2.06</v>
      </c>
      <c r="E8" s="16">
        <f>'10Be_Model1'!E8</f>
        <v>7.0000000000000007E-2</v>
      </c>
      <c r="F8" s="16"/>
    </row>
    <row r="9" spans="1:6" x14ac:dyDescent="0.2">
      <c r="A9" s="16" t="str">
        <f>'10Be_Model1'!A9</f>
        <v>SC-14-S2</v>
      </c>
      <c r="B9" s="16">
        <f>'10Be_Model1'!B9</f>
        <v>1.45</v>
      </c>
      <c r="C9" s="16">
        <f>'10Be_Model1'!C9</f>
        <v>0</v>
      </c>
      <c r="D9" s="16">
        <f>'10Be_Model1'!D9</f>
        <v>2.59</v>
      </c>
      <c r="E9" s="16">
        <f>'10Be_Model1'!E9</f>
        <v>0.12</v>
      </c>
      <c r="F9" s="16" t="str">
        <f>'10Be_Model1'!F9</f>
        <v>*Averaged out inverse ages which will throw up an error in postpro (can't have younger below older duh)</v>
      </c>
    </row>
    <row r="10" spans="1:6" x14ac:dyDescent="0.2">
      <c r="A10" s="16" t="str">
        <f>'10Be_Model1'!A10</f>
        <v>SC-15-S2</v>
      </c>
      <c r="B10" s="16">
        <f>'10Be_Model1'!B10</f>
        <v>0</v>
      </c>
      <c r="C10" s="16">
        <f>'10Be_Model1'!C10</f>
        <v>0</v>
      </c>
      <c r="D10" s="16">
        <f>'10Be_Model1'!D10</f>
        <v>0.54</v>
      </c>
      <c r="E10" s="16">
        <f>'10Be_Model1'!E10</f>
        <v>0.05</v>
      </c>
      <c r="F10" s="16"/>
    </row>
    <row r="11" spans="1:6" x14ac:dyDescent="0.2">
      <c r="A11" s="16" t="str">
        <f>'10Be_Model1'!A11</f>
        <v>SC-15-S2</v>
      </c>
      <c r="B11" s="16">
        <f>'10Be_Model1'!B11</f>
        <v>0.5</v>
      </c>
      <c r="C11" s="16">
        <f>'10Be_Model1'!C11</f>
        <v>0</v>
      </c>
      <c r="D11" s="16">
        <f>'10Be_Model1'!D11</f>
        <v>1.31</v>
      </c>
      <c r="E11" s="16">
        <f>'10Be_Model1'!E11</f>
        <v>0.03</v>
      </c>
      <c r="F11" s="16"/>
    </row>
    <row r="12" spans="1:6" x14ac:dyDescent="0.2">
      <c r="A12" s="16" t="str">
        <f>'10Be_Model1'!A12</f>
        <v>SC-15-S2</v>
      </c>
      <c r="B12" s="16">
        <f>'10Be_Model1'!B12</f>
        <v>1.2</v>
      </c>
      <c r="C12" s="16">
        <f>'10Be_Model1'!C12</f>
        <v>0</v>
      </c>
      <c r="D12" s="16">
        <f>'10Be_Model1'!D12</f>
        <v>2.4500000000000002</v>
      </c>
      <c r="E12" s="16">
        <f>'10Be_Model1'!E12</f>
        <v>0.08</v>
      </c>
      <c r="F12" s="16"/>
    </row>
    <row r="13" spans="1:6" x14ac:dyDescent="0.2">
      <c r="A13" s="16" t="str">
        <f>'10Be_Model1'!A13</f>
        <v>SC-15-S2</v>
      </c>
      <c r="B13" s="16">
        <f>'10Be_Model1'!B13</f>
        <v>1.9</v>
      </c>
      <c r="C13" s="16">
        <f>'10Be_Model1'!C13</f>
        <v>0</v>
      </c>
      <c r="D13" s="16">
        <f>'10Be_Model1'!D13</f>
        <v>3.63</v>
      </c>
      <c r="E13" s="16">
        <f>'10Be_Model1'!E13</f>
        <v>0.04</v>
      </c>
      <c r="F13" s="16"/>
    </row>
    <row r="14" spans="1:6" x14ac:dyDescent="0.2">
      <c r="A14" s="16" t="str">
        <f>'10Be_Model1'!A14</f>
        <v>SC-15-S2</v>
      </c>
      <c r="B14" s="16">
        <f>'10Be_Model1'!B14</f>
        <v>2.5</v>
      </c>
      <c r="C14" s="16">
        <f>'10Be_Model1'!C14</f>
        <v>0</v>
      </c>
      <c r="D14" s="16">
        <f>'10Be_Model1'!D14</f>
        <v>4.5599999999999996</v>
      </c>
      <c r="E14" s="16">
        <f>'10Be_Model1'!E14</f>
        <v>0.03</v>
      </c>
      <c r="F14" s="16"/>
    </row>
    <row r="15" spans="1:6" x14ac:dyDescent="0.2">
      <c r="A15" s="16" t="str">
        <f>'10Be_Model1'!A15</f>
        <v>SC-15-S2</v>
      </c>
      <c r="B15" s="16">
        <f>'10Be_Model1'!B15</f>
        <v>2.7</v>
      </c>
      <c r="C15" s="16">
        <f>'10Be_Model1'!C15</f>
        <v>0</v>
      </c>
      <c r="D15" s="16">
        <f>'10Be_Model1'!D15</f>
        <v>4.6100000000000003</v>
      </c>
      <c r="E15" s="16">
        <f>'10Be_Model1'!E15</f>
        <v>0.03</v>
      </c>
      <c r="F15" s="16"/>
    </row>
    <row r="16" spans="1:6" x14ac:dyDescent="0.2">
      <c r="A16" s="16" t="str">
        <f>'10Be_Model1'!A16</f>
        <v>SC-15-S1</v>
      </c>
      <c r="B16" s="16">
        <f>'10Be_Model1'!B16</f>
        <v>0</v>
      </c>
      <c r="C16" s="16">
        <f>'10Be_Model1'!C16</f>
        <v>0</v>
      </c>
      <c r="D16" s="16">
        <f>'10Be_Model1'!D16</f>
        <v>0.54</v>
      </c>
      <c r="E16" s="16">
        <f>'10Be_Model1'!E16</f>
        <v>0.05</v>
      </c>
      <c r="F16" s="16"/>
    </row>
    <row r="17" spans="1:6" x14ac:dyDescent="0.2">
      <c r="A17" s="16" t="str">
        <f>'10Be_Model1'!A17</f>
        <v>SC-15-S1</v>
      </c>
      <c r="B17" s="16">
        <f>'10Be_Model1'!B17</f>
        <v>0.5</v>
      </c>
      <c r="C17" s="16">
        <f>'10Be_Model1'!C17</f>
        <v>0</v>
      </c>
      <c r="D17" s="16">
        <f>'10Be_Model1'!D17</f>
        <v>1.31</v>
      </c>
      <c r="E17" s="16">
        <f>'10Be_Model1'!E17</f>
        <v>0.03</v>
      </c>
      <c r="F17" s="16"/>
    </row>
    <row r="18" spans="1:6" x14ac:dyDescent="0.2">
      <c r="A18" s="16" t="str">
        <f>'10Be_Model1'!A18</f>
        <v>SC-15-S1</v>
      </c>
      <c r="B18" s="16">
        <f>'10Be_Model1'!B18</f>
        <v>1.2</v>
      </c>
      <c r="C18" s="16">
        <f>'10Be_Model1'!C18</f>
        <v>0</v>
      </c>
      <c r="D18" s="16">
        <f>'10Be_Model1'!D18</f>
        <v>2.4500000000000002</v>
      </c>
      <c r="E18" s="16">
        <f>'10Be_Model1'!E18</f>
        <v>0.08</v>
      </c>
      <c r="F18" s="16"/>
    </row>
    <row r="19" spans="1:6" x14ac:dyDescent="0.2">
      <c r="A19" s="16" t="str">
        <f>'10Be_Model1'!A19</f>
        <v>SC-15-S1</v>
      </c>
      <c r="B19" s="16">
        <f>'10Be_Model1'!B19</f>
        <v>1.9</v>
      </c>
      <c r="C19" s="16">
        <f>'10Be_Model1'!C19</f>
        <v>0</v>
      </c>
      <c r="D19" s="16">
        <f>'10Be_Model1'!D19</f>
        <v>3.63</v>
      </c>
      <c r="E19" s="16">
        <f>'10Be_Model1'!E19</f>
        <v>0.04</v>
      </c>
      <c r="F19" s="16"/>
    </row>
    <row r="20" spans="1:6" x14ac:dyDescent="0.2">
      <c r="A20" s="16" t="str">
        <f>'10Be_Model1'!A20</f>
        <v>SC-15-S1</v>
      </c>
      <c r="B20" s="16">
        <f>'10Be_Model1'!B20</f>
        <v>2.5</v>
      </c>
      <c r="C20" s="16">
        <f>'10Be_Model1'!C20</f>
        <v>0</v>
      </c>
      <c r="D20" s="16">
        <f>'10Be_Model1'!D20</f>
        <v>4.5599999999999996</v>
      </c>
      <c r="E20" s="16">
        <f>'10Be_Model1'!E20</f>
        <v>0.03</v>
      </c>
      <c r="F20" s="16"/>
    </row>
    <row r="21" spans="1:6" x14ac:dyDescent="0.2">
      <c r="A21" s="16" t="str">
        <f>'10Be_Model1'!A21</f>
        <v>SC-15-S1</v>
      </c>
      <c r="B21" s="16">
        <f>'10Be_Model1'!B21</f>
        <v>2.7</v>
      </c>
      <c r="C21" s="16">
        <f>'10Be_Model1'!C21</f>
        <v>0</v>
      </c>
      <c r="D21" s="16">
        <f>'10Be_Model1'!D21</f>
        <v>4.6100000000000003</v>
      </c>
      <c r="E21" s="16">
        <f>'10Be_Model1'!E21</f>
        <v>0.03</v>
      </c>
      <c r="F21" s="16"/>
    </row>
    <row r="22" spans="1:6" x14ac:dyDescent="0.2">
      <c r="A22" s="16" t="str">
        <f>'10Be_Model1'!A22</f>
        <v>SC-15-S1</v>
      </c>
      <c r="B22" s="16">
        <f>'10Be_Model1'!B22</f>
        <v>4.2750000000000004</v>
      </c>
      <c r="C22" s="16">
        <f>'10Be_Model1'!C22</f>
        <v>0</v>
      </c>
      <c r="D22" s="16">
        <f>'10Be_Model1'!D22</f>
        <v>8.4499999999999993</v>
      </c>
      <c r="E22" s="16">
        <f>'10Be_Model1'!E22</f>
        <v>0.05</v>
      </c>
      <c r="F22" s="16" t="str">
        <f>'10Be_Model1'!F22</f>
        <v>Disconformity. Postpro is encountering an error because the depth change and age change is so rapid below. Thus I averaged the two ages out.</v>
      </c>
    </row>
    <row r="23" spans="1:6" x14ac:dyDescent="0.2">
      <c r="A23" s="16" t="str">
        <f>'10Be_Model1'!A23</f>
        <v>SC-15-S1-real</v>
      </c>
      <c r="B23" s="16">
        <f>'10Be_Model1'!B23</f>
        <v>4.25</v>
      </c>
      <c r="C23" s="16">
        <f>'10Be_Model1'!C23</f>
        <v>0</v>
      </c>
      <c r="D23" s="16">
        <f>'10Be_Model1'!D23</f>
        <v>7.3</v>
      </c>
      <c r="E23" s="16">
        <f>'10Be_Model1'!E23</f>
        <v>0.04</v>
      </c>
      <c r="F23" s="16"/>
    </row>
    <row r="24" spans="1:6" x14ac:dyDescent="0.2">
      <c r="A24" s="16" t="str">
        <f>'10Be_Model1'!A24</f>
        <v>SC-15-S1-real</v>
      </c>
      <c r="B24" s="16">
        <f>'10Be_Model1'!B24</f>
        <v>4.3</v>
      </c>
      <c r="C24" s="16">
        <f>'10Be_Model1'!C24</f>
        <v>0</v>
      </c>
      <c r="D24" s="16">
        <f>'10Be_Model1'!D24</f>
        <v>9.6</v>
      </c>
      <c r="E24" s="16">
        <f>'10Be_Model1'!E24</f>
        <v>0.05</v>
      </c>
      <c r="F24" s="16"/>
    </row>
    <row r="25" spans="1:6" x14ac:dyDescent="0.2">
      <c r="A25" s="16" t="str">
        <f>'10Be_Model1'!A25</f>
        <v>SC-16-S4</v>
      </c>
      <c r="B25" s="16">
        <f>'10Be_Model1'!B25</f>
        <v>0</v>
      </c>
      <c r="C25" s="16">
        <f>'10Be_Model1'!C25</f>
        <v>0</v>
      </c>
      <c r="D25" s="16">
        <f>'10Be_Model1'!D25</f>
        <v>3.41</v>
      </c>
      <c r="E25" s="16">
        <f>'10Be_Model1'!E25</f>
        <v>0.05</v>
      </c>
      <c r="F25" s="16"/>
    </row>
    <row r="26" spans="1:6" x14ac:dyDescent="0.2">
      <c r="A26" s="16" t="str">
        <f>'10Be_Model1'!A26</f>
        <v>SC-16-S4</v>
      </c>
      <c r="B26" s="16">
        <f>'10Be_Model1'!B26</f>
        <v>1.2599999999999998</v>
      </c>
      <c r="C26" s="16">
        <f>'10Be_Model1'!C26</f>
        <v>0</v>
      </c>
      <c r="D26" s="16">
        <f>'10Be_Model1'!D26</f>
        <v>3.98</v>
      </c>
      <c r="E26" s="16">
        <f>'10Be_Model1'!E26</f>
        <v>0.04</v>
      </c>
      <c r="F26" s="16"/>
    </row>
    <row r="27" spans="1:6" x14ac:dyDescent="0.2">
      <c r="A27" s="16" t="str">
        <f>'10Be_Model1'!A27</f>
        <v>SC-16-S3</v>
      </c>
      <c r="B27" s="16">
        <f>'10Be_Model1'!B27</f>
        <v>0</v>
      </c>
      <c r="C27" s="16">
        <f>'10Be_Model1'!C27</f>
        <v>0</v>
      </c>
      <c r="D27" s="16">
        <f>'10Be_Model1'!D27</f>
        <v>3.41</v>
      </c>
      <c r="E27" s="16">
        <f>'10Be_Model1'!E27</f>
        <v>0.05</v>
      </c>
      <c r="F27" s="16"/>
    </row>
    <row r="28" spans="1:6" x14ac:dyDescent="0.2">
      <c r="A28" s="16" t="str">
        <f>'10Be_Model1'!A28</f>
        <v>SC-16-S3</v>
      </c>
      <c r="B28" s="16">
        <f>'10Be_Model1'!B28</f>
        <v>1.2599999999999998</v>
      </c>
      <c r="C28" s="16">
        <f>'10Be_Model1'!C28</f>
        <v>0</v>
      </c>
      <c r="D28" s="16">
        <f>'10Be_Model1'!D28</f>
        <v>4.431</v>
      </c>
      <c r="E28" s="16">
        <f>'10Be_Model1'!E28</f>
        <v>0.13400000000000001</v>
      </c>
      <c r="F28" s="16"/>
    </row>
    <row r="29" spans="1:6" x14ac:dyDescent="0.2">
      <c r="A29" s="16" t="str">
        <f>'10Be_Model1'!A29</f>
        <v>SC-16-S3</v>
      </c>
      <c r="B29" s="16">
        <f>'10Be_Model1'!B29</f>
        <v>4.4700000000000006</v>
      </c>
      <c r="C29" s="16">
        <f>'10Be_Model1'!C29</f>
        <v>0</v>
      </c>
      <c r="D29" s="16">
        <f>'10Be_Model1'!D29</f>
        <v>9.0030000000000001</v>
      </c>
      <c r="E29" s="16">
        <f>'10Be_Model1'!E29</f>
        <v>0.23100000000000001</v>
      </c>
      <c r="F29" s="16"/>
    </row>
    <row r="30" spans="1:6" x14ac:dyDescent="0.2">
      <c r="A30" s="16" t="str">
        <f>'10Be_Model1'!A30</f>
        <v>SC-16-S3</v>
      </c>
      <c r="B30" s="16">
        <f>'10Be_Model1'!B30</f>
        <v>7.32</v>
      </c>
      <c r="C30" s="16">
        <f>'10Be_Model1'!C30</f>
        <v>0</v>
      </c>
      <c r="D30" s="16">
        <f>'10Be_Model1'!D30</f>
        <v>10.958</v>
      </c>
      <c r="E30" s="16">
        <f>'10Be_Model1'!E30</f>
        <v>0.20200000000000001</v>
      </c>
      <c r="F30" s="16"/>
    </row>
    <row r="31" spans="1:6" x14ac:dyDescent="0.2">
      <c r="A31" s="16"/>
      <c r="B31" s="16"/>
      <c r="C31" s="16"/>
      <c r="D31" s="16"/>
      <c r="E31" s="16"/>
      <c r="F31" s="16"/>
    </row>
    <row r="32" spans="1:6" x14ac:dyDescent="0.2">
      <c r="A32" s="16"/>
      <c r="B32" s="16"/>
      <c r="C32" s="16"/>
      <c r="D32" s="16"/>
      <c r="E32" s="16"/>
      <c r="F32" s="16"/>
    </row>
    <row r="33" spans="1:6" x14ac:dyDescent="0.2">
      <c r="A33" s="16"/>
      <c r="B33" s="16"/>
      <c r="C33" s="16"/>
      <c r="D33" s="16"/>
      <c r="E33" s="16"/>
      <c r="F33" s="16"/>
    </row>
    <row r="34" spans="1:6" x14ac:dyDescent="0.2">
      <c r="A34" s="16"/>
      <c r="B34" s="16"/>
      <c r="C34" s="16"/>
      <c r="D34" s="16"/>
      <c r="E34" s="16"/>
      <c r="F34" s="16"/>
    </row>
    <row r="35" spans="1:6" x14ac:dyDescent="0.2">
      <c r="A35" s="16"/>
      <c r="B35" s="16"/>
      <c r="C35" s="16"/>
      <c r="D35" s="16"/>
      <c r="E35" s="16"/>
      <c r="F35" s="16"/>
    </row>
    <row r="36" spans="1:6" x14ac:dyDescent="0.2">
      <c r="A36" s="16"/>
      <c r="B36" s="16"/>
      <c r="C36" s="16"/>
      <c r="D36" s="16"/>
      <c r="E36" s="16"/>
      <c r="F36" s="16"/>
    </row>
    <row r="37" spans="1:6" x14ac:dyDescent="0.2">
      <c r="A37" s="16"/>
      <c r="B37" s="16"/>
      <c r="C37" s="16"/>
      <c r="D37" s="16"/>
      <c r="E37" s="16"/>
      <c r="F37" s="16"/>
    </row>
    <row r="38" spans="1:6" x14ac:dyDescent="0.2">
      <c r="A38" s="16"/>
      <c r="B38" s="16"/>
      <c r="C38" s="16"/>
      <c r="D38" s="16"/>
      <c r="E38" s="16"/>
      <c r="F38" s="16"/>
    </row>
    <row r="39" spans="1:6" x14ac:dyDescent="0.2">
      <c r="A39" s="16"/>
      <c r="B39" s="16"/>
      <c r="C39" s="16"/>
      <c r="D39" s="16"/>
      <c r="E39" s="16"/>
      <c r="F39" s="16"/>
    </row>
    <row r="40" spans="1:6" x14ac:dyDescent="0.2">
      <c r="A40" s="16"/>
      <c r="B40" s="16"/>
      <c r="C40" s="16"/>
      <c r="D40" s="16"/>
      <c r="E40" s="16"/>
    </row>
    <row r="41" spans="1:6" x14ac:dyDescent="0.2">
      <c r="A41" s="16"/>
      <c r="B41" s="16"/>
      <c r="C41" s="16"/>
      <c r="D41" s="16"/>
      <c r="E41" s="16"/>
    </row>
    <row r="42" spans="1:6" x14ac:dyDescent="0.2">
      <c r="A42" s="16"/>
      <c r="B42" s="16"/>
      <c r="C42" s="16"/>
      <c r="D42" s="16"/>
      <c r="E42" s="16"/>
    </row>
    <row r="43" spans="1:6" x14ac:dyDescent="0.2">
      <c r="A43" s="16"/>
      <c r="B43" s="16"/>
      <c r="C43" s="16"/>
      <c r="D43" s="16"/>
      <c r="E43" s="16"/>
    </row>
    <row r="44" spans="1:6" x14ac:dyDescent="0.2">
      <c r="A44" s="16"/>
      <c r="B44" s="16"/>
      <c r="C44" s="16"/>
      <c r="D44" s="16"/>
      <c r="E44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10Be_Model1</vt:lpstr>
      <vt:lpstr>10Be_Model2</vt:lpstr>
      <vt:lpstr>36Cl_Model1</vt:lpstr>
      <vt:lpstr>36Cl_Model2</vt:lpstr>
      <vt:lpstr>14C_Model1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2026-01-25T21:06:19Z</dcterms:modified>
</cp:coreProperties>
</file>